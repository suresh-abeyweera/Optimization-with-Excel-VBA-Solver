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edium Article\VBA file\VBA\"/>
    </mc:Choice>
  </mc:AlternateContent>
  <xr:revisionPtr revIDLastSave="0" documentId="13_ncr:1_{C9034225-AC1B-4D9C-BD8E-5E7FD2392D15}" xr6:coauthVersionLast="47" xr6:coauthVersionMax="47" xr10:uidLastSave="{00000000-0000-0000-0000-000000000000}"/>
  <bookViews>
    <workbookView xWindow="-110" yWindow="-110" windowWidth="19420" windowHeight="10420" xr2:uid="{7961173D-E538-491A-891D-EF29DA983E79}"/>
  </bookViews>
  <sheets>
    <sheet name="Home" sheetId="1" r:id="rId1"/>
    <sheet name="Input" sheetId="7" r:id="rId2"/>
    <sheet name="Calculation" sheetId="10" state="hidden" r:id="rId3"/>
    <sheet name="Output - Profitability Analysis" sheetId="9" r:id="rId4"/>
    <sheet name="Output - Operation Analysis" sheetId="8" r:id="rId5"/>
  </sheets>
  <definedNames>
    <definedName name="solver_adj" localSheetId="1" hidden="1">Input!$C$8:$D$8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2</definedName>
    <definedName name="solver_eng" localSheetId="2" hidden="1">2</definedName>
    <definedName name="solver_eng" localSheetId="0" hidden="1">2</definedName>
    <definedName name="solver_eng" localSheetId="1" hidden="1">2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Calculation!$C$19</definedName>
    <definedName name="solver_lhs1" localSheetId="0" hidden="1">Input!#REF!</definedName>
    <definedName name="solver_lhs10" localSheetId="2" hidden="1">Calculation!$E$28</definedName>
    <definedName name="solver_lhs100" localSheetId="2" hidden="1">Calculation!$G$28</definedName>
    <definedName name="solver_lhs101" localSheetId="2" hidden="1">Calculation!$G$19</definedName>
    <definedName name="solver_lhs102" localSheetId="2" hidden="1">Calculation!$G$28</definedName>
    <definedName name="solver_lhs103" localSheetId="2" hidden="1">Calculation!$G$28</definedName>
    <definedName name="solver_lhs104" localSheetId="2" hidden="1">Calculation!$G$9</definedName>
    <definedName name="solver_lhs105" localSheetId="2" hidden="1">Calculation!$G$9</definedName>
    <definedName name="solver_lhs106" localSheetId="2" hidden="1">Calculation!$G$9</definedName>
    <definedName name="solver_lhs107" localSheetId="2" hidden="1">Calculation!$H$10</definedName>
    <definedName name="solver_lhs108" localSheetId="2" hidden="1">Calculation!$G$28</definedName>
    <definedName name="solver_lhs109" localSheetId="2" hidden="1">Calculation!$H$10</definedName>
    <definedName name="solver_lhs11" localSheetId="2" hidden="1">Calculation!$E$9</definedName>
    <definedName name="solver_lhs110" localSheetId="2" hidden="1">Calculation!$H$10</definedName>
    <definedName name="solver_lhs111" localSheetId="2" hidden="1">Calculation!$H$19</definedName>
    <definedName name="solver_lhs112" localSheetId="2" hidden="1">Calculation!$G$9</definedName>
    <definedName name="solver_lhs113" localSheetId="2" hidden="1">Calculation!$H$19</definedName>
    <definedName name="solver_lhs114" localSheetId="2" hidden="1">Calculation!$H$19</definedName>
    <definedName name="solver_lhs115" localSheetId="2" hidden="1">Calculation!$G$9</definedName>
    <definedName name="solver_lhs116" localSheetId="2" hidden="1">Calculation!$H$28</definedName>
    <definedName name="solver_lhs117" localSheetId="2" hidden="1">Calculation!$H$28</definedName>
    <definedName name="solver_lhs118" localSheetId="2" hidden="1">Calculation!$H$19</definedName>
    <definedName name="solver_lhs119" localSheetId="2" hidden="1">Calculation!$H$28</definedName>
    <definedName name="solver_lhs12" localSheetId="2" hidden="1">Calculation!$E$10</definedName>
    <definedName name="solver_lhs120" localSheetId="2" hidden="1">Calculation!$H$9</definedName>
    <definedName name="solver_lhs121" localSheetId="2" hidden="1">Calculation!$I$10</definedName>
    <definedName name="solver_lhs122" localSheetId="2" hidden="1">Calculation!$H$9</definedName>
    <definedName name="solver_lhs123" localSheetId="2" hidden="1">Calculation!$H$10</definedName>
    <definedName name="solver_lhs124" localSheetId="2" hidden="1">Calculation!$I$19</definedName>
    <definedName name="solver_lhs125" localSheetId="2" hidden="1">Calculation!$I$28</definedName>
    <definedName name="solver_lhs126" localSheetId="2" hidden="1">Calculation!$I$9</definedName>
    <definedName name="solver_lhs127" localSheetId="2" hidden="1">Calculation!$J$19</definedName>
    <definedName name="solver_lhs128" localSheetId="2" hidden="1">Calculation!$J$28</definedName>
    <definedName name="solver_lhs129" localSheetId="2" hidden="1">Calculation!$J$9</definedName>
    <definedName name="solver_lhs13" localSheetId="2" hidden="1">Calculation!$F$19</definedName>
    <definedName name="solver_lhs130" localSheetId="2" hidden="1">Calculation!$K$10</definedName>
    <definedName name="solver_lhs131" localSheetId="2" hidden="1">Calculation!$J$10</definedName>
    <definedName name="solver_lhs132" localSheetId="2" hidden="1">Calculation!$K$19</definedName>
    <definedName name="solver_lhs133" localSheetId="2" hidden="1">Calculation!$K$28</definedName>
    <definedName name="solver_lhs134" localSheetId="2" hidden="1">Calculation!$K$9</definedName>
    <definedName name="solver_lhs135" localSheetId="2" hidden="1">Calculation!$L$19</definedName>
    <definedName name="solver_lhs136" localSheetId="2" hidden="1">Calculation!$L$28</definedName>
    <definedName name="solver_lhs137" localSheetId="2" hidden="1">Calculation!$L$9</definedName>
    <definedName name="solver_lhs138" localSheetId="2" hidden="1">Calculation!$M$28</definedName>
    <definedName name="solver_lhs139" localSheetId="2" hidden="1">Calculation!$M$19</definedName>
    <definedName name="solver_lhs14" localSheetId="2" hidden="1">Calculation!$F$28</definedName>
    <definedName name="solver_lhs140" localSheetId="2" hidden="1">Calculation!$M$10</definedName>
    <definedName name="solver_lhs141" localSheetId="2" hidden="1">Calculation!$L$10</definedName>
    <definedName name="solver_lhs142" localSheetId="2" hidden="1">Calculation!$M$9</definedName>
    <definedName name="solver_lhs143" localSheetId="2" hidden="1">Calculation!$N$10</definedName>
    <definedName name="solver_lhs144" localSheetId="2" hidden="1">Calculation!$E$19</definedName>
    <definedName name="solver_lhs145" localSheetId="2" hidden="1">Calculation!$E$28</definedName>
    <definedName name="solver_lhs146" localSheetId="2" hidden="1">Calculation!$E$9</definedName>
    <definedName name="solver_lhs147" localSheetId="2" hidden="1">Calculation!$F$19</definedName>
    <definedName name="solver_lhs148" localSheetId="2" hidden="1">Calculation!$F$28</definedName>
    <definedName name="solver_lhs149" localSheetId="2" hidden="1">Calculation!$G$10</definedName>
    <definedName name="solver_lhs15" localSheetId="2" hidden="1">Calculation!$F$9</definedName>
    <definedName name="solver_lhs150" localSheetId="2" hidden="1">Calculation!$F$9</definedName>
    <definedName name="solver_lhs151" localSheetId="2" hidden="1">Calculation!$G$19</definedName>
    <definedName name="solver_lhs152" localSheetId="2" hidden="1">Calculation!$G$28</definedName>
    <definedName name="solver_lhs153" localSheetId="2" hidden="1">Calculation!$H$19</definedName>
    <definedName name="solver_lhs154" localSheetId="2" hidden="1">Calculation!$H$10</definedName>
    <definedName name="solver_lhs155" localSheetId="2" hidden="1">Calculation!$G$9</definedName>
    <definedName name="solver_lhs156" localSheetId="2" hidden="1">Calculation!$H$19</definedName>
    <definedName name="solver_lhs157" localSheetId="2" hidden="1">Calculation!$H$28</definedName>
    <definedName name="solver_lhs158" localSheetId="2" hidden="1">Calculation!$H$9</definedName>
    <definedName name="solver_lhs159" localSheetId="2" hidden="1">Calculation!$H$28</definedName>
    <definedName name="solver_lhs16" localSheetId="2" hidden="1">Calculation!$F$10</definedName>
    <definedName name="solver_lhs160" localSheetId="2" hidden="1">Calculation!$H$9</definedName>
    <definedName name="solver_lhs161" localSheetId="2" hidden="1">Calculation!$I$10</definedName>
    <definedName name="solver_lhs162" localSheetId="2" hidden="1">Calculation!$I$19</definedName>
    <definedName name="solver_lhs163" localSheetId="2" hidden="1">Calculation!$I$10</definedName>
    <definedName name="solver_lhs164" localSheetId="2" hidden="1">Calculation!$H$9</definedName>
    <definedName name="solver_lhs165" localSheetId="2" hidden="1">Calculation!$I$19</definedName>
    <definedName name="solver_lhs166" localSheetId="2" hidden="1">Calculation!$I$28</definedName>
    <definedName name="solver_lhs167" localSheetId="2" hidden="1">Calculation!$I$28</definedName>
    <definedName name="solver_lhs168" localSheetId="2" hidden="1">Calculation!$H$28</definedName>
    <definedName name="solver_lhs169" localSheetId="2" hidden="1">Calculation!$J$10</definedName>
    <definedName name="solver_lhs17" localSheetId="2" hidden="1">Calculation!$G$19</definedName>
    <definedName name="solver_lhs170" localSheetId="2" hidden="1">Calculation!$J$9</definedName>
    <definedName name="solver_lhs171" localSheetId="2" hidden="1">Calculation!$J$28</definedName>
    <definedName name="solver_lhs172" localSheetId="2" hidden="1">Calculation!$J$19</definedName>
    <definedName name="solver_lhs173" localSheetId="2" hidden="1">Calculation!$I$10</definedName>
    <definedName name="solver_lhs174" localSheetId="2" hidden="1">Calculation!$I$10</definedName>
    <definedName name="solver_lhs175" localSheetId="2" hidden="1">Calculation!$H$9</definedName>
    <definedName name="solver_lhs176" localSheetId="2" hidden="1">Calculation!$I$10</definedName>
    <definedName name="solver_lhs177" localSheetId="2" hidden="1">Calculation!$H$10</definedName>
    <definedName name="solver_lhs178" localSheetId="2" hidden="1">Calculation!$I$19</definedName>
    <definedName name="solver_lhs179" localSheetId="2" hidden="1">Calculation!$I$9</definedName>
    <definedName name="solver_lhs18" localSheetId="2" hidden="1">Calculation!$G$28</definedName>
    <definedName name="solver_lhs180" localSheetId="2" hidden="1">Calculation!$I$28</definedName>
    <definedName name="solver_lhs181" localSheetId="2" hidden="1">Calculation!$I$9</definedName>
    <definedName name="solver_lhs182" localSheetId="2" hidden="1">Calculation!$I$19</definedName>
    <definedName name="solver_lhs183" localSheetId="2" hidden="1">Calculation!$J$10</definedName>
    <definedName name="solver_lhs184" localSheetId="2" hidden="1">Calculation!$I$9</definedName>
    <definedName name="solver_lhs185" localSheetId="2" hidden="1">Calculation!$J$19</definedName>
    <definedName name="solver_lhs186" localSheetId="2" hidden="1">Calculation!$J$10</definedName>
    <definedName name="solver_lhs187" localSheetId="2" hidden="1">Calculation!$I$28</definedName>
    <definedName name="solver_lhs188" localSheetId="2" hidden="1">Calculation!$J$28</definedName>
    <definedName name="solver_lhs189" localSheetId="2" hidden="1">Calculation!$J$9</definedName>
    <definedName name="solver_lhs19" localSheetId="2" hidden="1">Calculation!$G$9</definedName>
    <definedName name="solver_lhs190" localSheetId="2" hidden="1">Calculation!$J$28</definedName>
    <definedName name="solver_lhs191" localSheetId="2" hidden="1">Calculation!$L$9</definedName>
    <definedName name="solver_lhs192" localSheetId="2" hidden="1">Calculation!$L$28</definedName>
    <definedName name="solver_lhs193" localSheetId="2" hidden="1">Calculation!$L$19</definedName>
    <definedName name="solver_lhs194" localSheetId="2" hidden="1">Calculation!$K$10</definedName>
    <definedName name="solver_lhs195" localSheetId="2" hidden="1">Calculation!$K$10</definedName>
    <definedName name="solver_lhs196" localSheetId="2" hidden="1">Calculation!$K$10</definedName>
    <definedName name="solver_lhs197" localSheetId="2" hidden="1">Calculation!$K$10</definedName>
    <definedName name="solver_lhs198" localSheetId="2" hidden="1">Calculation!$K$28</definedName>
    <definedName name="solver_lhs199" localSheetId="2" hidden="1">Calculation!$K$9</definedName>
    <definedName name="solver_lhs2" localSheetId="2" hidden="1">Calculation!$C$28</definedName>
    <definedName name="solver_lhs2" localSheetId="0" hidden="1">Input!#REF!</definedName>
    <definedName name="solver_lhs20" localSheetId="2" hidden="1">Calculation!$G$10</definedName>
    <definedName name="solver_lhs200" localSheetId="2" hidden="1">Calculation!$J$9</definedName>
    <definedName name="solver_lhs201" localSheetId="2" hidden="1">Calculation!$L$10</definedName>
    <definedName name="solver_lhs202" localSheetId="2" hidden="1">Calculation!$L$9</definedName>
    <definedName name="solver_lhs203" localSheetId="2" hidden="1">Calculation!$M$28</definedName>
    <definedName name="solver_lhs204" localSheetId="2" hidden="1">Calculation!$M$9</definedName>
    <definedName name="solver_lhs205" localSheetId="2" hidden="1">Calculation!$N$10</definedName>
    <definedName name="solver_lhs206" localSheetId="2" hidden="1">Calculation!$N$9</definedName>
    <definedName name="solver_lhs207" localSheetId="2" hidden="1">Calculation!$N$28</definedName>
    <definedName name="solver_lhs208" localSheetId="2" hidden="1">Calculation!$N$19</definedName>
    <definedName name="solver_lhs209" localSheetId="2" hidden="1">Calculation!$M$10</definedName>
    <definedName name="solver_lhs21" localSheetId="2" hidden="1">Calculation!$H$19</definedName>
    <definedName name="solver_lhs210" localSheetId="2" hidden="1">Calculation!$L$28</definedName>
    <definedName name="solver_lhs211" localSheetId="2" hidden="1">Calculation!$N$10</definedName>
    <definedName name="solver_lhs212" localSheetId="2" hidden="1">Calculation!$N$9</definedName>
    <definedName name="solver_lhs213" localSheetId="2" hidden="1">Calculation!$N$28</definedName>
    <definedName name="solver_lhs214" localSheetId="2" hidden="1">Calculation!$N$19</definedName>
    <definedName name="solver_lhs215" localSheetId="2" hidden="1">Calculation!$M$10</definedName>
    <definedName name="solver_lhs216" localSheetId="2" hidden="1">Calculation!$M$9</definedName>
    <definedName name="solver_lhs217" localSheetId="2" hidden="1">Calculation!$M$28</definedName>
    <definedName name="solver_lhs218" localSheetId="2" hidden="1">Calculation!$M$19</definedName>
    <definedName name="solver_lhs219" localSheetId="2" hidden="1">Calculation!$L$10</definedName>
    <definedName name="solver_lhs22" localSheetId="2" hidden="1">Calculation!$H$28</definedName>
    <definedName name="solver_lhs220" localSheetId="2" hidden="1">Calculation!$K$28</definedName>
    <definedName name="solver_lhs221" localSheetId="2" hidden="1">Calculation!$M$10</definedName>
    <definedName name="solver_lhs222" localSheetId="2" hidden="1">Calculation!$L$28</definedName>
    <definedName name="solver_lhs223" localSheetId="2" hidden="1">Calculation!$M$28</definedName>
    <definedName name="solver_lhs224" localSheetId="2" hidden="1">Calculation!$I$19</definedName>
    <definedName name="solver_lhs225" localSheetId="2" hidden="1">Calculation!$N$10</definedName>
    <definedName name="solver_lhs226" localSheetId="2" hidden="1">Calculation!$I$9</definedName>
    <definedName name="solver_lhs227" localSheetId="2" hidden="1">Calculation!$K$19</definedName>
    <definedName name="solver_lhs228" localSheetId="2" hidden="1">Calculation!$J$19</definedName>
    <definedName name="solver_lhs229" localSheetId="2" hidden="1">Calculation!$K$19</definedName>
    <definedName name="solver_lhs23" localSheetId="2" hidden="1">Calculation!$H$9</definedName>
    <definedName name="solver_lhs230" localSheetId="2" hidden="1">Calculation!$K$28</definedName>
    <definedName name="solver_lhs231" localSheetId="2" hidden="1">Calculation!$K$9</definedName>
    <definedName name="solver_lhs232" localSheetId="2" hidden="1">Calculation!$K$19</definedName>
    <definedName name="solver_lhs233" localSheetId="2" hidden="1">Calculation!$K$9</definedName>
    <definedName name="solver_lhs234" localSheetId="2" hidden="1">Calculation!$K$9</definedName>
    <definedName name="solver_lhs235" localSheetId="2" hidden="1">Calculation!$L$19</definedName>
    <definedName name="solver_lhs236" localSheetId="2" hidden="1">Calculation!$L$19</definedName>
    <definedName name="solver_lhs237" localSheetId="2" hidden="1">Calculation!$L$9</definedName>
    <definedName name="solver_lhs238" localSheetId="2" hidden="1">Calculation!$L$19</definedName>
    <definedName name="solver_lhs239" localSheetId="2" hidden="1">Calculation!$L$28</definedName>
    <definedName name="solver_lhs24" localSheetId="2" hidden="1">Calculation!$H$10</definedName>
    <definedName name="solver_lhs240" localSheetId="2" hidden="1">Calculation!$L$9</definedName>
    <definedName name="solver_lhs241" localSheetId="2" hidden="1">Calculation!$N$10</definedName>
    <definedName name="solver_lhs242" localSheetId="2" hidden="1">Calculation!$N$9</definedName>
    <definedName name="solver_lhs243" localSheetId="2" hidden="1">Calculation!$N$28</definedName>
    <definedName name="solver_lhs244" localSheetId="2" hidden="1">Calculation!$N$19</definedName>
    <definedName name="solver_lhs245" localSheetId="2" hidden="1">Calculation!$M$10</definedName>
    <definedName name="solver_lhs246" localSheetId="2" hidden="1">Calculation!$L$10</definedName>
    <definedName name="solver_lhs247" localSheetId="2" hidden="1">Calculation!$M$9</definedName>
    <definedName name="solver_lhs248" localSheetId="2" hidden="1">Calculation!$M$28</definedName>
    <definedName name="solver_lhs249" localSheetId="2" hidden="1">Calculation!$M$19</definedName>
    <definedName name="solver_lhs25" localSheetId="2" hidden="1">Calculation!$I$19</definedName>
    <definedName name="solver_lhs250" localSheetId="2" hidden="1">Calculation!$J$19</definedName>
    <definedName name="solver_lhs251" localSheetId="2" hidden="1">Calculation!$J$28</definedName>
    <definedName name="solver_lhs252" localSheetId="2" hidden="1">Calculation!$J$9</definedName>
    <definedName name="solver_lhs253" localSheetId="2" hidden="1">Calculation!$J$10</definedName>
    <definedName name="solver_lhs254" localSheetId="2" hidden="1">Calculation!$I$28</definedName>
    <definedName name="solver_lhs255" localSheetId="2" hidden="1">Calculation!$N$9</definedName>
    <definedName name="solver_lhs256" localSheetId="2" hidden="1">Calculation!$N$28</definedName>
    <definedName name="solver_lhs257" localSheetId="2" hidden="1">Calculation!$N$19</definedName>
    <definedName name="solver_lhs258" localSheetId="2" hidden="1">Calculation!$M$10</definedName>
    <definedName name="solver_lhs259" localSheetId="2" hidden="1">Calculation!$M$9</definedName>
    <definedName name="solver_lhs26" localSheetId="2" hidden="1">Calculation!$I$28</definedName>
    <definedName name="solver_lhs260" localSheetId="2" hidden="1">Calculation!$M$28</definedName>
    <definedName name="solver_lhs261" localSheetId="2" hidden="1">Calculation!$M$19</definedName>
    <definedName name="solver_lhs262" localSheetId="2" hidden="1">Calculation!$L$10</definedName>
    <definedName name="solver_lhs263" localSheetId="2" hidden="1">Calculation!$L$9</definedName>
    <definedName name="solver_lhs264" localSheetId="2" hidden="1">Calculation!$L$28</definedName>
    <definedName name="solver_lhs265" localSheetId="2" hidden="1">Calculation!$L$19</definedName>
    <definedName name="solver_lhs266" localSheetId="2" hidden="1">Calculation!$K$10</definedName>
    <definedName name="solver_lhs267" localSheetId="2" hidden="1">Calculation!$K$9</definedName>
    <definedName name="solver_lhs268" localSheetId="2" hidden="1">Calculation!$K$28</definedName>
    <definedName name="solver_lhs269" localSheetId="2" hidden="1">Calculation!$K$19</definedName>
    <definedName name="solver_lhs27" localSheetId="2" hidden="1">Calculation!$I$9</definedName>
    <definedName name="solver_lhs270" localSheetId="2" hidden="1">Calculation!$J$10</definedName>
    <definedName name="solver_lhs271" localSheetId="2" hidden="1">Calculation!$I$9</definedName>
    <definedName name="solver_lhs272" localSheetId="2" hidden="1">Calculation!$J$19</definedName>
    <definedName name="solver_lhs273" localSheetId="2" hidden="1">Calculation!$J$28</definedName>
    <definedName name="solver_lhs274" localSheetId="2" hidden="1">Calculation!$J$9</definedName>
    <definedName name="solver_lhs275" localSheetId="2" hidden="1">Calculation!$M$19</definedName>
    <definedName name="solver_lhs276" localSheetId="2" hidden="1">Calculation!$M$9</definedName>
    <definedName name="solver_lhs277" localSheetId="2" hidden="1">Calculation!$N$10</definedName>
    <definedName name="solver_lhs278" localSheetId="2" hidden="1">Calculation!$K$19</definedName>
    <definedName name="solver_lhs279" localSheetId="2" hidden="1">Calculation!$K$28</definedName>
    <definedName name="solver_lhs28" localSheetId="2" hidden="1">Calculation!$I$10</definedName>
    <definedName name="solver_lhs280" localSheetId="2" hidden="1">Calculation!$L$10</definedName>
    <definedName name="solver_lhs281" localSheetId="2" hidden="1">Calculation!$M$19</definedName>
    <definedName name="solver_lhs282" localSheetId="2" hidden="1">Calculation!$C$19</definedName>
    <definedName name="solver_lhs283" localSheetId="2" hidden="1">Calculation!$N$19</definedName>
    <definedName name="solver_lhs284" localSheetId="2" hidden="1">Calculation!$N$28</definedName>
    <definedName name="solver_lhs285" localSheetId="2" hidden="1">Calculation!$N$19</definedName>
    <definedName name="solver_lhs286" localSheetId="2" hidden="1">Calculation!$N$28</definedName>
    <definedName name="solver_lhs287" localSheetId="2" hidden="1">Calculation!$N$9</definedName>
    <definedName name="solver_lhs288" localSheetId="2" hidden="1">Calculation!$N$9</definedName>
    <definedName name="solver_lhs289" localSheetId="2" hidden="1">Calculation!$N$10</definedName>
    <definedName name="solver_lhs29" localSheetId="2" hidden="1">Calculation!$J$19</definedName>
    <definedName name="solver_lhs290" localSheetId="2" hidden="1">Calculation!$N$9</definedName>
    <definedName name="solver_lhs291" localSheetId="2" hidden="1">Calculation!$N$28</definedName>
    <definedName name="solver_lhs292" localSheetId="2" hidden="1">Calculation!$N$19</definedName>
    <definedName name="solver_lhs293" localSheetId="2" hidden="1">Calculation!$M$10</definedName>
    <definedName name="solver_lhs294" localSheetId="2" hidden="1">Calculation!$M$9</definedName>
    <definedName name="solver_lhs295" localSheetId="2" hidden="1">Calculation!$M$28</definedName>
    <definedName name="solver_lhs296" localSheetId="2" hidden="1">Calculation!$M$19</definedName>
    <definedName name="solver_lhs297" localSheetId="2" hidden="1">Calculation!$L$10</definedName>
    <definedName name="solver_lhs298" localSheetId="2" hidden="1">Calculation!$L$9</definedName>
    <definedName name="solver_lhs299" localSheetId="2" hidden="1">Calculation!$L$28</definedName>
    <definedName name="solver_lhs3" localSheetId="2" hidden="1">Calculation!$C$9</definedName>
    <definedName name="solver_lhs3" localSheetId="0" hidden="1">Input!#REF!</definedName>
    <definedName name="solver_lhs30" localSheetId="2" hidden="1">Calculation!$J$28</definedName>
    <definedName name="solver_lhs300" localSheetId="2" hidden="1">Calculation!$L$19</definedName>
    <definedName name="solver_lhs301" localSheetId="2" hidden="1">Calculation!$K$10</definedName>
    <definedName name="solver_lhs302" localSheetId="2" hidden="1">Calculation!$K$9</definedName>
    <definedName name="solver_lhs303" localSheetId="2" hidden="1">Calculation!$K$28</definedName>
    <definedName name="solver_lhs304" localSheetId="2" hidden="1">Calculation!$K$19</definedName>
    <definedName name="solver_lhs305" localSheetId="2" hidden="1">Calculation!$J$10</definedName>
    <definedName name="solver_lhs306" localSheetId="2" hidden="1">Calculation!$J$9</definedName>
    <definedName name="solver_lhs307" localSheetId="2" hidden="1">Calculation!$J$28</definedName>
    <definedName name="solver_lhs308" localSheetId="2" hidden="1">Calculation!$J$19</definedName>
    <definedName name="solver_lhs309" localSheetId="2" hidden="1">Calculation!$I$10</definedName>
    <definedName name="solver_lhs31" localSheetId="2" hidden="1">Calculation!$J$9</definedName>
    <definedName name="solver_lhs310" localSheetId="2" hidden="1">Calculation!$I$9</definedName>
    <definedName name="solver_lhs311" localSheetId="2" hidden="1">Calculation!$I$28</definedName>
    <definedName name="solver_lhs312" localSheetId="2" hidden="1">Calculation!$I$19</definedName>
    <definedName name="solver_lhs313" localSheetId="2" hidden="1">Calculation!$H$10</definedName>
    <definedName name="solver_lhs314" localSheetId="2" hidden="1">Calculation!$H$9</definedName>
    <definedName name="solver_lhs315" localSheetId="2" hidden="1">Calculation!$H$28</definedName>
    <definedName name="solver_lhs316" localSheetId="2" hidden="1">Calculation!$H$19</definedName>
    <definedName name="solver_lhs317" localSheetId="2" hidden="1">Calculation!$G$10</definedName>
    <definedName name="solver_lhs318" localSheetId="2" hidden="1">Calculation!$G$9</definedName>
    <definedName name="solver_lhs319" localSheetId="2" hidden="1">Calculation!$G$28</definedName>
    <definedName name="solver_lhs32" localSheetId="2" hidden="1">Calculation!$J$10</definedName>
    <definedName name="solver_lhs320" localSheetId="2" hidden="1">Calculation!$G$19</definedName>
    <definedName name="solver_lhs321" localSheetId="2" hidden="1">Calculation!$F$10</definedName>
    <definedName name="solver_lhs322" localSheetId="2" hidden="1">Calculation!$F$9</definedName>
    <definedName name="solver_lhs323" localSheetId="2" hidden="1">Calculation!$F$28</definedName>
    <definedName name="solver_lhs324" localSheetId="2" hidden="1">Calculation!$F$19</definedName>
    <definedName name="solver_lhs325" localSheetId="2" hidden="1">Calculation!$E$10</definedName>
    <definedName name="solver_lhs326" localSheetId="2" hidden="1">Calculation!$E$9</definedName>
    <definedName name="solver_lhs327" localSheetId="2" hidden="1">Calculation!$E$28</definedName>
    <definedName name="solver_lhs328" localSheetId="2" hidden="1">Calculation!$E$19</definedName>
    <definedName name="solver_lhs329" localSheetId="2" hidden="1">Calculation!$D$10</definedName>
    <definedName name="solver_lhs33" localSheetId="2" hidden="1">Calculation!$K$19</definedName>
    <definedName name="solver_lhs330" localSheetId="2" hidden="1">Calculation!$D$9</definedName>
    <definedName name="solver_lhs331" localSheetId="2" hidden="1">Calculation!$D$28</definedName>
    <definedName name="solver_lhs332" localSheetId="2" hidden="1">Calculation!$D$19</definedName>
    <definedName name="solver_lhs333" localSheetId="2" hidden="1">Calculation!$C$10</definedName>
    <definedName name="solver_lhs334" localSheetId="2" hidden="1">Calculation!$C$19</definedName>
    <definedName name="solver_lhs335" localSheetId="2" hidden="1">Calculation!$C$28</definedName>
    <definedName name="solver_lhs336" localSheetId="2" hidden="1">Calculation!$C$9</definedName>
    <definedName name="solver_lhs34" localSheetId="2" hidden="1">Calculation!$K$28</definedName>
    <definedName name="solver_lhs35" localSheetId="2" hidden="1">Calculation!$K$9</definedName>
    <definedName name="solver_lhs36" localSheetId="2" hidden="1">Calculation!$K$10</definedName>
    <definedName name="solver_lhs37" localSheetId="2" hidden="1">Calculation!$L$19</definedName>
    <definedName name="solver_lhs38" localSheetId="2" hidden="1">Calculation!$L$28</definedName>
    <definedName name="solver_lhs39" localSheetId="2" hidden="1">Calculation!$L$9</definedName>
    <definedName name="solver_lhs4" localSheetId="2" hidden="1">Calculation!$C$10</definedName>
    <definedName name="solver_lhs4" localSheetId="0" hidden="1">Input!#REF!</definedName>
    <definedName name="solver_lhs40" localSheetId="2" hidden="1">Calculation!$L$10</definedName>
    <definedName name="solver_lhs41" localSheetId="2" hidden="1">Calculation!$M$19</definedName>
    <definedName name="solver_lhs42" localSheetId="2" hidden="1">Calculation!$M$28</definedName>
    <definedName name="solver_lhs43" localSheetId="2" hidden="1">Calculation!$M$9</definedName>
    <definedName name="solver_lhs44" localSheetId="2" hidden="1">Calculation!$M$10</definedName>
    <definedName name="solver_lhs45" localSheetId="2" hidden="1">Calculation!$N$19</definedName>
    <definedName name="solver_lhs46" localSheetId="2" hidden="1">Calculation!$N$28</definedName>
    <definedName name="solver_lhs47" localSheetId="2" hidden="1">Calculation!$N$9</definedName>
    <definedName name="solver_lhs48" localSheetId="2" hidden="1">Calculation!$N$10</definedName>
    <definedName name="solver_lhs49" localSheetId="2" hidden="1">Calculation!$C$19</definedName>
    <definedName name="solver_lhs5" localSheetId="2" hidden="1">Calculation!$D$19</definedName>
    <definedName name="solver_lhs50" localSheetId="2" hidden="1">Calculation!$C$28</definedName>
    <definedName name="solver_lhs51" localSheetId="2" hidden="1">Calculation!$C$9</definedName>
    <definedName name="solver_lhs52" localSheetId="2" hidden="1">Calculation!$C$10</definedName>
    <definedName name="solver_lhs53" localSheetId="2" hidden="1">Calculation!$D$19</definedName>
    <definedName name="solver_lhs54" localSheetId="2" hidden="1">Calculation!$D$28</definedName>
    <definedName name="solver_lhs55" localSheetId="2" hidden="1">Calculation!$D$9</definedName>
    <definedName name="solver_lhs56" localSheetId="2" hidden="1">Calculation!$D$10</definedName>
    <definedName name="solver_lhs57" localSheetId="2" hidden="1">Calculation!$E$19</definedName>
    <definedName name="solver_lhs58" localSheetId="2" hidden="1">Calculation!$E$28</definedName>
    <definedName name="solver_lhs59" localSheetId="2" hidden="1">Calculation!$E$9</definedName>
    <definedName name="solver_lhs6" localSheetId="2" hidden="1">Calculation!$D$28</definedName>
    <definedName name="solver_lhs60" localSheetId="2" hidden="1">Calculation!$E$10</definedName>
    <definedName name="solver_lhs61" localSheetId="2" hidden="1">Calculation!$F$19</definedName>
    <definedName name="solver_lhs62" localSheetId="2" hidden="1">Calculation!$F$28</definedName>
    <definedName name="solver_lhs63" localSheetId="2" hidden="1">Calculation!$F$9</definedName>
    <definedName name="solver_lhs64" localSheetId="2" hidden="1">Calculation!$F$10</definedName>
    <definedName name="solver_lhs65" localSheetId="2" hidden="1">Calculation!$G$19</definedName>
    <definedName name="solver_lhs66" localSheetId="2" hidden="1">Calculation!$G$28</definedName>
    <definedName name="solver_lhs67" localSheetId="2" hidden="1">Calculation!$G$9</definedName>
    <definedName name="solver_lhs68" localSheetId="2" hidden="1">Calculation!$G$10</definedName>
    <definedName name="solver_lhs69" localSheetId="2" hidden="1">Calculation!$H$19</definedName>
    <definedName name="solver_lhs7" localSheetId="2" hidden="1">Calculation!$D$9</definedName>
    <definedName name="solver_lhs70" localSheetId="2" hidden="1">Calculation!$H$28</definedName>
    <definedName name="solver_lhs71" localSheetId="2" hidden="1">Calculation!$H$9</definedName>
    <definedName name="solver_lhs72" localSheetId="2" hidden="1">Calculation!$H$10</definedName>
    <definedName name="solver_lhs73" localSheetId="2" hidden="1">Calculation!$I$19</definedName>
    <definedName name="solver_lhs74" localSheetId="2" hidden="1">Calculation!$I$28</definedName>
    <definedName name="solver_lhs75" localSheetId="2" hidden="1">Calculation!$I$9</definedName>
    <definedName name="solver_lhs76" localSheetId="2" hidden="1">Calculation!$I$10</definedName>
    <definedName name="solver_lhs77" localSheetId="2" hidden="1">Calculation!$J$19</definedName>
    <definedName name="solver_lhs78" localSheetId="2" hidden="1">Calculation!$J$28</definedName>
    <definedName name="solver_lhs79" localSheetId="2" hidden="1">Calculation!$J$9</definedName>
    <definedName name="solver_lhs8" localSheetId="2" hidden="1">Calculation!$D$10</definedName>
    <definedName name="solver_lhs80" localSheetId="2" hidden="1">Calculation!$J$10</definedName>
    <definedName name="solver_lhs81" localSheetId="2" hidden="1">Calculation!$K$19</definedName>
    <definedName name="solver_lhs82" localSheetId="2" hidden="1">Calculation!$K$28</definedName>
    <definedName name="solver_lhs83" localSheetId="2" hidden="1">Calculation!$K$9</definedName>
    <definedName name="solver_lhs84" localSheetId="2" hidden="1">Calculation!$K$10</definedName>
    <definedName name="solver_lhs85" localSheetId="2" hidden="1">Calculation!$L$19</definedName>
    <definedName name="solver_lhs86" localSheetId="2" hidden="1">Calculation!$L$28</definedName>
    <definedName name="solver_lhs87" localSheetId="2" hidden="1">Calculation!$L$9</definedName>
    <definedName name="solver_lhs88" localSheetId="2" hidden="1">Calculation!$L$10</definedName>
    <definedName name="solver_lhs89" localSheetId="2" hidden="1">Calculation!$M$19</definedName>
    <definedName name="solver_lhs9" localSheetId="2" hidden="1">Calculation!$E$19</definedName>
    <definedName name="solver_lhs90" localSheetId="2" hidden="1">Calculation!$M$28</definedName>
    <definedName name="solver_lhs91" localSheetId="2" hidden="1">Calculation!$M$9</definedName>
    <definedName name="solver_lhs92" localSheetId="2" hidden="1">Calculation!$M$10</definedName>
    <definedName name="solver_lhs93" localSheetId="2" hidden="1">Calculation!$N$19</definedName>
    <definedName name="solver_lhs94" localSheetId="2" hidden="1">Calculation!$N$28</definedName>
    <definedName name="solver_lhs95" localSheetId="2" hidden="1">Calculation!$N$9</definedName>
    <definedName name="solver_lhs96" localSheetId="2" hidden="1">Calculation!$N$10</definedName>
    <definedName name="solver_lhs97" localSheetId="2" hidden="1">Calculation!$G$19</definedName>
    <definedName name="solver_lhs98" localSheetId="2" hidden="1">Calculation!$G$28</definedName>
    <definedName name="solver_lhs99" localSheetId="2" hidden="1">Calculation!$F$9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um" localSheetId="2" hidden="1">0</definedName>
    <definedName name="solver_num" localSheetId="0" hidden="1">0</definedName>
    <definedName name="solver_num" localSheetId="1" hidden="1">1</definedName>
    <definedName name="solver_nwt" localSheetId="2" hidden="1">1</definedName>
    <definedName name="solver_nwt" localSheetId="0" hidden="1">1</definedName>
    <definedName name="solver_opt" localSheetId="1" hidden="1">Input!$AH$2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bv" localSheetId="0" hidden="1">2</definedName>
    <definedName name="solver_rel1" localSheetId="2" hidden="1">1</definedName>
    <definedName name="solver_rel1" localSheetId="0" hidden="1">1</definedName>
    <definedName name="solver_rel10" localSheetId="2" hidden="1">1</definedName>
    <definedName name="solver_rel100" localSheetId="2" hidden="1">1</definedName>
    <definedName name="solver_rel101" localSheetId="2" hidden="1">1</definedName>
    <definedName name="solver_rel102" localSheetId="2" hidden="1">1</definedName>
    <definedName name="solver_rel103" localSheetId="2" hidden="1">1</definedName>
    <definedName name="solver_rel104" localSheetId="2" hidden="1">3</definedName>
    <definedName name="solver_rel105" localSheetId="2" hidden="1">3</definedName>
    <definedName name="solver_rel106" localSheetId="2" hidden="1">3</definedName>
    <definedName name="solver_rel107" localSheetId="2" hidden="1">3</definedName>
    <definedName name="solver_rel108" localSheetId="2" hidden="1">1</definedName>
    <definedName name="solver_rel109" localSheetId="2" hidden="1">3</definedName>
    <definedName name="solver_rel11" localSheetId="2" hidden="1">3</definedName>
    <definedName name="solver_rel110" localSheetId="2" hidden="1">3</definedName>
    <definedName name="solver_rel111" localSheetId="2" hidden="1">1</definedName>
    <definedName name="solver_rel112" localSheetId="2" hidden="1">3</definedName>
    <definedName name="solver_rel113" localSheetId="2" hidden="1">1</definedName>
    <definedName name="solver_rel114" localSheetId="2" hidden="1">1</definedName>
    <definedName name="solver_rel115" localSheetId="2" hidden="1">3</definedName>
    <definedName name="solver_rel116" localSheetId="2" hidden="1">1</definedName>
    <definedName name="solver_rel117" localSheetId="2" hidden="1">1</definedName>
    <definedName name="solver_rel118" localSheetId="2" hidden="1">1</definedName>
    <definedName name="solver_rel119" localSheetId="2" hidden="1">1</definedName>
    <definedName name="solver_rel12" localSheetId="2" hidden="1">3</definedName>
    <definedName name="solver_rel120" localSheetId="2" hidden="1">3</definedName>
    <definedName name="solver_rel121" localSheetId="2" hidden="1">3</definedName>
    <definedName name="solver_rel122" localSheetId="2" hidden="1">3</definedName>
    <definedName name="solver_rel123" localSheetId="2" hidden="1">3</definedName>
    <definedName name="solver_rel124" localSheetId="2" hidden="1">1</definedName>
    <definedName name="solver_rel125" localSheetId="2" hidden="1">1</definedName>
    <definedName name="solver_rel126" localSheetId="2" hidden="1">3</definedName>
    <definedName name="solver_rel127" localSheetId="2" hidden="1">1</definedName>
    <definedName name="solver_rel128" localSheetId="2" hidden="1">1</definedName>
    <definedName name="solver_rel129" localSheetId="2" hidden="1">3</definedName>
    <definedName name="solver_rel13" localSheetId="2" hidden="1">1</definedName>
    <definedName name="solver_rel130" localSheetId="2" hidden="1">3</definedName>
    <definedName name="solver_rel131" localSheetId="2" hidden="1">3</definedName>
    <definedName name="solver_rel132" localSheetId="2" hidden="1">1</definedName>
    <definedName name="solver_rel133" localSheetId="2" hidden="1">1</definedName>
    <definedName name="solver_rel134" localSheetId="2" hidden="1">3</definedName>
    <definedName name="solver_rel135" localSheetId="2" hidden="1">1</definedName>
    <definedName name="solver_rel136" localSheetId="2" hidden="1">1</definedName>
    <definedName name="solver_rel137" localSheetId="2" hidden="1">3</definedName>
    <definedName name="solver_rel138" localSheetId="2" hidden="1">1</definedName>
    <definedName name="solver_rel139" localSheetId="2" hidden="1">1</definedName>
    <definedName name="solver_rel14" localSheetId="2" hidden="1">1</definedName>
    <definedName name="solver_rel140" localSheetId="2" hidden="1">3</definedName>
    <definedName name="solver_rel141" localSheetId="2" hidden="1">3</definedName>
    <definedName name="solver_rel142" localSheetId="2" hidden="1">3</definedName>
    <definedName name="solver_rel143" localSheetId="2" hidden="1">3</definedName>
    <definedName name="solver_rel144" localSheetId="2" hidden="1">1</definedName>
    <definedName name="solver_rel145" localSheetId="2" hidden="1">1</definedName>
    <definedName name="solver_rel146" localSheetId="2" hidden="1">3</definedName>
    <definedName name="solver_rel147" localSheetId="2" hidden="1">1</definedName>
    <definedName name="solver_rel148" localSheetId="2" hidden="1">1</definedName>
    <definedName name="solver_rel149" localSheetId="2" hidden="1">3</definedName>
    <definedName name="solver_rel15" localSheetId="2" hidden="1">3</definedName>
    <definedName name="solver_rel150" localSheetId="2" hidden="1">3</definedName>
    <definedName name="solver_rel151" localSheetId="2" hidden="1">1</definedName>
    <definedName name="solver_rel152" localSheetId="2" hidden="1">1</definedName>
    <definedName name="solver_rel153" localSheetId="2" hidden="1">1</definedName>
    <definedName name="solver_rel154" localSheetId="2" hidden="1">3</definedName>
    <definedName name="solver_rel155" localSheetId="2" hidden="1">3</definedName>
    <definedName name="solver_rel156" localSheetId="2" hidden="1">1</definedName>
    <definedName name="solver_rel157" localSheetId="2" hidden="1">1</definedName>
    <definedName name="solver_rel158" localSheetId="2" hidden="1">3</definedName>
    <definedName name="solver_rel159" localSheetId="2" hidden="1">1</definedName>
    <definedName name="solver_rel16" localSheetId="2" hidden="1">3</definedName>
    <definedName name="solver_rel160" localSheetId="2" hidden="1">3</definedName>
    <definedName name="solver_rel161" localSheetId="2" hidden="1">3</definedName>
    <definedName name="solver_rel162" localSheetId="2" hidden="1">1</definedName>
    <definedName name="solver_rel163" localSheetId="2" hidden="1">3</definedName>
    <definedName name="solver_rel164" localSheetId="2" hidden="1">3</definedName>
    <definedName name="solver_rel165" localSheetId="2" hidden="1">1</definedName>
    <definedName name="solver_rel166" localSheetId="2" hidden="1">1</definedName>
    <definedName name="solver_rel167" localSheetId="2" hidden="1">1</definedName>
    <definedName name="solver_rel168" localSheetId="2" hidden="1">1</definedName>
    <definedName name="solver_rel169" localSheetId="2" hidden="1">3</definedName>
    <definedName name="solver_rel17" localSheetId="2" hidden="1">1</definedName>
    <definedName name="solver_rel170" localSheetId="2" hidden="1">3</definedName>
    <definedName name="solver_rel171" localSheetId="2" hidden="1">1</definedName>
    <definedName name="solver_rel172" localSheetId="2" hidden="1">1</definedName>
    <definedName name="solver_rel173" localSheetId="2" hidden="1">3</definedName>
    <definedName name="solver_rel174" localSheetId="2" hidden="1">3</definedName>
    <definedName name="solver_rel175" localSheetId="2" hidden="1">3</definedName>
    <definedName name="solver_rel176" localSheetId="2" hidden="1">3</definedName>
    <definedName name="solver_rel177" localSheetId="2" hidden="1">3</definedName>
    <definedName name="solver_rel178" localSheetId="2" hidden="1">1</definedName>
    <definedName name="solver_rel179" localSheetId="2" hidden="1">3</definedName>
    <definedName name="solver_rel18" localSheetId="2" hidden="1">1</definedName>
    <definedName name="solver_rel180" localSheetId="2" hidden="1">1</definedName>
    <definedName name="solver_rel181" localSheetId="2" hidden="1">3</definedName>
    <definedName name="solver_rel182" localSheetId="2" hidden="1">1</definedName>
    <definedName name="solver_rel183" localSheetId="2" hidden="1">3</definedName>
    <definedName name="solver_rel184" localSheetId="2" hidden="1">3</definedName>
    <definedName name="solver_rel185" localSheetId="2" hidden="1">1</definedName>
    <definedName name="solver_rel186" localSheetId="2" hidden="1">3</definedName>
    <definedName name="solver_rel187" localSheetId="2" hidden="1">1</definedName>
    <definedName name="solver_rel188" localSheetId="2" hidden="1">1</definedName>
    <definedName name="solver_rel189" localSheetId="2" hidden="1">3</definedName>
    <definedName name="solver_rel19" localSheetId="2" hidden="1">3</definedName>
    <definedName name="solver_rel190" localSheetId="2" hidden="1">1</definedName>
    <definedName name="solver_rel191" localSheetId="2" hidden="1">3</definedName>
    <definedName name="solver_rel192" localSheetId="2" hidden="1">1</definedName>
    <definedName name="solver_rel193" localSheetId="2" hidden="1">1</definedName>
    <definedName name="solver_rel194" localSheetId="2" hidden="1">3</definedName>
    <definedName name="solver_rel195" localSheetId="2" hidden="1">3</definedName>
    <definedName name="solver_rel196" localSheetId="2" hidden="1">3</definedName>
    <definedName name="solver_rel197" localSheetId="2" hidden="1">3</definedName>
    <definedName name="solver_rel198" localSheetId="2" hidden="1">1</definedName>
    <definedName name="solver_rel199" localSheetId="2" hidden="1">3</definedName>
    <definedName name="solver_rel2" localSheetId="2" hidden="1">1</definedName>
    <definedName name="solver_rel2" localSheetId="0" hidden="1">1</definedName>
    <definedName name="solver_rel20" localSheetId="2" hidden="1">3</definedName>
    <definedName name="solver_rel200" localSheetId="2" hidden="1">3</definedName>
    <definedName name="solver_rel201" localSheetId="2" hidden="1">3</definedName>
    <definedName name="solver_rel202" localSheetId="2" hidden="1">3</definedName>
    <definedName name="solver_rel203" localSheetId="2" hidden="1">1</definedName>
    <definedName name="solver_rel204" localSheetId="2" hidden="1">3</definedName>
    <definedName name="solver_rel205" localSheetId="2" hidden="1">3</definedName>
    <definedName name="solver_rel206" localSheetId="2" hidden="1">3</definedName>
    <definedName name="solver_rel207" localSheetId="2" hidden="1">1</definedName>
    <definedName name="solver_rel208" localSheetId="2" hidden="1">1</definedName>
    <definedName name="solver_rel209" localSheetId="2" hidden="1">3</definedName>
    <definedName name="solver_rel21" localSheetId="2" hidden="1">1</definedName>
    <definedName name="solver_rel210" localSheetId="2" hidden="1">1</definedName>
    <definedName name="solver_rel211" localSheetId="2" hidden="1">3</definedName>
    <definedName name="solver_rel212" localSheetId="2" hidden="1">3</definedName>
    <definedName name="solver_rel213" localSheetId="2" hidden="1">1</definedName>
    <definedName name="solver_rel214" localSheetId="2" hidden="1">1</definedName>
    <definedName name="solver_rel215" localSheetId="2" hidden="1">3</definedName>
    <definedName name="solver_rel216" localSheetId="2" hidden="1">3</definedName>
    <definedName name="solver_rel217" localSheetId="2" hidden="1">1</definedName>
    <definedName name="solver_rel218" localSheetId="2" hidden="1">1</definedName>
    <definedName name="solver_rel219" localSheetId="2" hidden="1">3</definedName>
    <definedName name="solver_rel22" localSheetId="2" hidden="1">1</definedName>
    <definedName name="solver_rel220" localSheetId="2" hidden="1">1</definedName>
    <definedName name="solver_rel221" localSheetId="2" hidden="1">3</definedName>
    <definedName name="solver_rel222" localSheetId="2" hidden="1">1</definedName>
    <definedName name="solver_rel223" localSheetId="2" hidden="1">1</definedName>
    <definedName name="solver_rel224" localSheetId="2" hidden="1">1</definedName>
    <definedName name="solver_rel225" localSheetId="2" hidden="1">3</definedName>
    <definedName name="solver_rel226" localSheetId="2" hidden="1">3</definedName>
    <definedName name="solver_rel227" localSheetId="2" hidden="1">1</definedName>
    <definedName name="solver_rel228" localSheetId="2" hidden="1">1</definedName>
    <definedName name="solver_rel229" localSheetId="2" hidden="1">1</definedName>
    <definedName name="solver_rel23" localSheetId="2" hidden="1">3</definedName>
    <definedName name="solver_rel230" localSheetId="2" hidden="1">1</definedName>
    <definedName name="solver_rel231" localSheetId="2" hidden="1">3</definedName>
    <definedName name="solver_rel232" localSheetId="2" hidden="1">1</definedName>
    <definedName name="solver_rel233" localSheetId="2" hidden="1">3</definedName>
    <definedName name="solver_rel234" localSheetId="2" hidden="1">3</definedName>
    <definedName name="solver_rel235" localSheetId="2" hidden="1">1</definedName>
    <definedName name="solver_rel236" localSheetId="2" hidden="1">1</definedName>
    <definedName name="solver_rel237" localSheetId="2" hidden="1">3</definedName>
    <definedName name="solver_rel238" localSheetId="2" hidden="1">1</definedName>
    <definedName name="solver_rel239" localSheetId="2" hidden="1">1</definedName>
    <definedName name="solver_rel24" localSheetId="2" hidden="1">3</definedName>
    <definedName name="solver_rel240" localSheetId="2" hidden="1">3</definedName>
    <definedName name="solver_rel241" localSheetId="2" hidden="1">3</definedName>
    <definedName name="solver_rel242" localSheetId="2" hidden="1">3</definedName>
    <definedName name="solver_rel243" localSheetId="2" hidden="1">1</definedName>
    <definedName name="solver_rel244" localSheetId="2" hidden="1">1</definedName>
    <definedName name="solver_rel245" localSheetId="2" hidden="1">3</definedName>
    <definedName name="solver_rel246" localSheetId="2" hidden="1">3</definedName>
    <definedName name="solver_rel247" localSheetId="2" hidden="1">3</definedName>
    <definedName name="solver_rel248" localSheetId="2" hidden="1">1</definedName>
    <definedName name="solver_rel249" localSheetId="2" hidden="1">1</definedName>
    <definedName name="solver_rel25" localSheetId="2" hidden="1">1</definedName>
    <definedName name="solver_rel250" localSheetId="2" hidden="1">1</definedName>
    <definedName name="solver_rel251" localSheetId="2" hidden="1">1</definedName>
    <definedName name="solver_rel252" localSheetId="2" hidden="1">3</definedName>
    <definedName name="solver_rel253" localSheetId="2" hidden="1">3</definedName>
    <definedName name="solver_rel254" localSheetId="2" hidden="1">1</definedName>
    <definedName name="solver_rel255" localSheetId="2" hidden="1">3</definedName>
    <definedName name="solver_rel256" localSheetId="2" hidden="1">1</definedName>
    <definedName name="solver_rel257" localSheetId="2" hidden="1">1</definedName>
    <definedName name="solver_rel258" localSheetId="2" hidden="1">3</definedName>
    <definedName name="solver_rel259" localSheetId="2" hidden="1">3</definedName>
    <definedName name="solver_rel26" localSheetId="2" hidden="1">1</definedName>
    <definedName name="solver_rel260" localSheetId="2" hidden="1">1</definedName>
    <definedName name="solver_rel261" localSheetId="2" hidden="1">1</definedName>
    <definedName name="solver_rel262" localSheetId="2" hidden="1">3</definedName>
    <definedName name="solver_rel263" localSheetId="2" hidden="1">3</definedName>
    <definedName name="solver_rel264" localSheetId="2" hidden="1">1</definedName>
    <definedName name="solver_rel265" localSheetId="2" hidden="1">1</definedName>
    <definedName name="solver_rel266" localSheetId="2" hidden="1">3</definedName>
    <definedName name="solver_rel267" localSheetId="2" hidden="1">3</definedName>
    <definedName name="solver_rel268" localSheetId="2" hidden="1">1</definedName>
    <definedName name="solver_rel269" localSheetId="2" hidden="1">1</definedName>
    <definedName name="solver_rel27" localSheetId="2" hidden="1">3</definedName>
    <definedName name="solver_rel270" localSheetId="2" hidden="1">3</definedName>
    <definedName name="solver_rel271" localSheetId="2" hidden="1">3</definedName>
    <definedName name="solver_rel272" localSheetId="2" hidden="1">1</definedName>
    <definedName name="solver_rel273" localSheetId="2" hidden="1">1</definedName>
    <definedName name="solver_rel274" localSheetId="2" hidden="1">3</definedName>
    <definedName name="solver_rel275" localSheetId="2" hidden="1">1</definedName>
    <definedName name="solver_rel276" localSheetId="2" hidden="1">3</definedName>
    <definedName name="solver_rel277" localSheetId="2" hidden="1">3</definedName>
    <definedName name="solver_rel278" localSheetId="2" hidden="1">1</definedName>
    <definedName name="solver_rel279" localSheetId="2" hidden="1">1</definedName>
    <definedName name="solver_rel28" localSheetId="2" hidden="1">3</definedName>
    <definedName name="solver_rel280" localSheetId="2" hidden="1">3</definedName>
    <definedName name="solver_rel281" localSheetId="2" hidden="1">1</definedName>
    <definedName name="solver_rel282" localSheetId="2" hidden="1">1</definedName>
    <definedName name="solver_rel283" localSheetId="2" hidden="1">1</definedName>
    <definedName name="solver_rel284" localSheetId="2" hidden="1">1</definedName>
    <definedName name="solver_rel285" localSheetId="2" hidden="1">1</definedName>
    <definedName name="solver_rel286" localSheetId="2" hidden="1">1</definedName>
    <definedName name="solver_rel287" localSheetId="2" hidden="1">3</definedName>
    <definedName name="solver_rel288" localSheetId="2" hidden="1">3</definedName>
    <definedName name="solver_rel289" localSheetId="2" hidden="1">3</definedName>
    <definedName name="solver_rel29" localSheetId="2" hidden="1">1</definedName>
    <definedName name="solver_rel290" localSheetId="2" hidden="1">3</definedName>
    <definedName name="solver_rel291" localSheetId="2" hidden="1">1</definedName>
    <definedName name="solver_rel292" localSheetId="2" hidden="1">1</definedName>
    <definedName name="solver_rel293" localSheetId="2" hidden="1">3</definedName>
    <definedName name="solver_rel294" localSheetId="2" hidden="1">3</definedName>
    <definedName name="solver_rel295" localSheetId="2" hidden="1">1</definedName>
    <definedName name="solver_rel296" localSheetId="2" hidden="1">1</definedName>
    <definedName name="solver_rel297" localSheetId="2" hidden="1">3</definedName>
    <definedName name="solver_rel298" localSheetId="2" hidden="1">3</definedName>
    <definedName name="solver_rel299" localSheetId="2" hidden="1">1</definedName>
    <definedName name="solver_rel3" localSheetId="2" hidden="1">3</definedName>
    <definedName name="solver_rel3" localSheetId="0" hidden="1">3</definedName>
    <definedName name="solver_rel30" localSheetId="2" hidden="1">1</definedName>
    <definedName name="solver_rel300" localSheetId="2" hidden="1">1</definedName>
    <definedName name="solver_rel301" localSheetId="2" hidden="1">3</definedName>
    <definedName name="solver_rel302" localSheetId="2" hidden="1">3</definedName>
    <definedName name="solver_rel303" localSheetId="2" hidden="1">1</definedName>
    <definedName name="solver_rel304" localSheetId="2" hidden="1">1</definedName>
    <definedName name="solver_rel305" localSheetId="2" hidden="1">3</definedName>
    <definedName name="solver_rel306" localSheetId="2" hidden="1">3</definedName>
    <definedName name="solver_rel307" localSheetId="2" hidden="1">1</definedName>
    <definedName name="solver_rel308" localSheetId="2" hidden="1">1</definedName>
    <definedName name="solver_rel309" localSheetId="2" hidden="1">3</definedName>
    <definedName name="solver_rel31" localSheetId="2" hidden="1">3</definedName>
    <definedName name="solver_rel310" localSheetId="2" hidden="1">3</definedName>
    <definedName name="solver_rel311" localSheetId="2" hidden="1">1</definedName>
    <definedName name="solver_rel312" localSheetId="2" hidden="1">1</definedName>
    <definedName name="solver_rel313" localSheetId="2" hidden="1">3</definedName>
    <definedName name="solver_rel314" localSheetId="2" hidden="1">3</definedName>
    <definedName name="solver_rel315" localSheetId="2" hidden="1">1</definedName>
    <definedName name="solver_rel316" localSheetId="2" hidden="1">1</definedName>
    <definedName name="solver_rel317" localSheetId="2" hidden="1">3</definedName>
    <definedName name="solver_rel318" localSheetId="2" hidden="1">3</definedName>
    <definedName name="solver_rel319" localSheetId="2" hidden="1">1</definedName>
    <definedName name="solver_rel32" localSheetId="2" hidden="1">3</definedName>
    <definedName name="solver_rel320" localSheetId="2" hidden="1">1</definedName>
    <definedName name="solver_rel321" localSheetId="2" hidden="1">3</definedName>
    <definedName name="solver_rel322" localSheetId="2" hidden="1">3</definedName>
    <definedName name="solver_rel323" localSheetId="2" hidden="1">1</definedName>
    <definedName name="solver_rel324" localSheetId="2" hidden="1">1</definedName>
    <definedName name="solver_rel325" localSheetId="2" hidden="1">3</definedName>
    <definedName name="solver_rel326" localSheetId="2" hidden="1">3</definedName>
    <definedName name="solver_rel327" localSheetId="2" hidden="1">1</definedName>
    <definedName name="solver_rel328" localSheetId="2" hidden="1">1</definedName>
    <definedName name="solver_rel329" localSheetId="2" hidden="1">3</definedName>
    <definedName name="solver_rel33" localSheetId="2" hidden="1">1</definedName>
    <definedName name="solver_rel330" localSheetId="2" hidden="1">3</definedName>
    <definedName name="solver_rel331" localSheetId="2" hidden="1">1</definedName>
    <definedName name="solver_rel332" localSheetId="2" hidden="1">1</definedName>
    <definedName name="solver_rel333" localSheetId="2" hidden="1">3</definedName>
    <definedName name="solver_rel334" localSheetId="2" hidden="1">1</definedName>
    <definedName name="solver_rel335" localSheetId="2" hidden="1">1</definedName>
    <definedName name="solver_rel336" localSheetId="2" hidden="1">3</definedName>
    <definedName name="solver_rel34" localSheetId="2" hidden="1">1</definedName>
    <definedName name="solver_rel35" localSheetId="2" hidden="1">3</definedName>
    <definedName name="solver_rel36" localSheetId="2" hidden="1">3</definedName>
    <definedName name="solver_rel37" localSheetId="2" hidden="1">1</definedName>
    <definedName name="solver_rel38" localSheetId="2" hidden="1">1</definedName>
    <definedName name="solver_rel39" localSheetId="2" hidden="1">3</definedName>
    <definedName name="solver_rel4" localSheetId="2" hidden="1">3</definedName>
    <definedName name="solver_rel4" localSheetId="0" hidden="1">3</definedName>
    <definedName name="solver_rel40" localSheetId="2" hidden="1">3</definedName>
    <definedName name="solver_rel41" localSheetId="2" hidden="1">1</definedName>
    <definedName name="solver_rel42" localSheetId="2" hidden="1">1</definedName>
    <definedName name="solver_rel43" localSheetId="2" hidden="1">3</definedName>
    <definedName name="solver_rel44" localSheetId="2" hidden="1">3</definedName>
    <definedName name="solver_rel45" localSheetId="2" hidden="1">1</definedName>
    <definedName name="solver_rel46" localSheetId="2" hidden="1">1</definedName>
    <definedName name="solver_rel47" localSheetId="2" hidden="1">3</definedName>
    <definedName name="solver_rel48" localSheetId="2" hidden="1">3</definedName>
    <definedName name="solver_rel49" localSheetId="2" hidden="1">1</definedName>
    <definedName name="solver_rel5" localSheetId="2" hidden="1">1</definedName>
    <definedName name="solver_rel50" localSheetId="2" hidden="1">1</definedName>
    <definedName name="solver_rel51" localSheetId="2" hidden="1">3</definedName>
    <definedName name="solver_rel52" localSheetId="2" hidden="1">3</definedName>
    <definedName name="solver_rel53" localSheetId="2" hidden="1">1</definedName>
    <definedName name="solver_rel54" localSheetId="2" hidden="1">1</definedName>
    <definedName name="solver_rel55" localSheetId="2" hidden="1">3</definedName>
    <definedName name="solver_rel56" localSheetId="2" hidden="1">3</definedName>
    <definedName name="solver_rel57" localSheetId="2" hidden="1">1</definedName>
    <definedName name="solver_rel58" localSheetId="2" hidden="1">1</definedName>
    <definedName name="solver_rel59" localSheetId="2" hidden="1">3</definedName>
    <definedName name="solver_rel6" localSheetId="2" hidden="1">1</definedName>
    <definedName name="solver_rel60" localSheetId="2" hidden="1">3</definedName>
    <definedName name="solver_rel61" localSheetId="2" hidden="1">1</definedName>
    <definedName name="solver_rel62" localSheetId="2" hidden="1">1</definedName>
    <definedName name="solver_rel63" localSheetId="2" hidden="1">3</definedName>
    <definedName name="solver_rel64" localSheetId="2" hidden="1">3</definedName>
    <definedName name="solver_rel65" localSheetId="2" hidden="1">1</definedName>
    <definedName name="solver_rel66" localSheetId="2" hidden="1">1</definedName>
    <definedName name="solver_rel67" localSheetId="2" hidden="1">3</definedName>
    <definedName name="solver_rel68" localSheetId="2" hidden="1">3</definedName>
    <definedName name="solver_rel69" localSheetId="2" hidden="1">1</definedName>
    <definedName name="solver_rel7" localSheetId="2" hidden="1">3</definedName>
    <definedName name="solver_rel70" localSheetId="2" hidden="1">1</definedName>
    <definedName name="solver_rel71" localSheetId="2" hidden="1">3</definedName>
    <definedName name="solver_rel72" localSheetId="2" hidden="1">3</definedName>
    <definedName name="solver_rel73" localSheetId="2" hidden="1">1</definedName>
    <definedName name="solver_rel74" localSheetId="2" hidden="1">1</definedName>
    <definedName name="solver_rel75" localSheetId="2" hidden="1">3</definedName>
    <definedName name="solver_rel76" localSheetId="2" hidden="1">3</definedName>
    <definedName name="solver_rel77" localSheetId="2" hidden="1">1</definedName>
    <definedName name="solver_rel78" localSheetId="2" hidden="1">1</definedName>
    <definedName name="solver_rel79" localSheetId="2" hidden="1">3</definedName>
    <definedName name="solver_rel8" localSheetId="2" hidden="1">3</definedName>
    <definedName name="solver_rel80" localSheetId="2" hidden="1">3</definedName>
    <definedName name="solver_rel81" localSheetId="2" hidden="1">1</definedName>
    <definedName name="solver_rel82" localSheetId="2" hidden="1">1</definedName>
    <definedName name="solver_rel83" localSheetId="2" hidden="1">3</definedName>
    <definedName name="solver_rel84" localSheetId="2" hidden="1">3</definedName>
    <definedName name="solver_rel85" localSheetId="2" hidden="1">1</definedName>
    <definedName name="solver_rel86" localSheetId="2" hidden="1">1</definedName>
    <definedName name="solver_rel87" localSheetId="2" hidden="1">3</definedName>
    <definedName name="solver_rel88" localSheetId="2" hidden="1">3</definedName>
    <definedName name="solver_rel89" localSheetId="2" hidden="1">1</definedName>
    <definedName name="solver_rel9" localSheetId="2" hidden="1">1</definedName>
    <definedName name="solver_rel90" localSheetId="2" hidden="1">1</definedName>
    <definedName name="solver_rel91" localSheetId="2" hidden="1">3</definedName>
    <definedName name="solver_rel92" localSheetId="2" hidden="1">3</definedName>
    <definedName name="solver_rel93" localSheetId="2" hidden="1">1</definedName>
    <definedName name="solver_rel94" localSheetId="2" hidden="1">1</definedName>
    <definedName name="solver_rel95" localSheetId="2" hidden="1">3</definedName>
    <definedName name="solver_rel96" localSheetId="2" hidden="1">3</definedName>
    <definedName name="solver_rel97" localSheetId="2" hidden="1">1</definedName>
    <definedName name="solver_rel98" localSheetId="2" hidden="1">1</definedName>
    <definedName name="solver_rel99" localSheetId="2" hidden="1">3</definedName>
    <definedName name="solver_rhs1" localSheetId="2" hidden="1">Calculation!$C$21</definedName>
    <definedName name="solver_rhs1" localSheetId="0" hidden="1">Input!$T$12</definedName>
    <definedName name="solver_rhs10" localSheetId="2" hidden="1">Calculation!$E$30</definedName>
    <definedName name="solver_rhs100" localSheetId="2" hidden="1">Calculation!$G$30</definedName>
    <definedName name="solver_rhs101" localSheetId="2" hidden="1">Calculation!$G$21</definedName>
    <definedName name="solver_rhs102" localSheetId="2" hidden="1">Calculation!$G$30</definedName>
    <definedName name="solver_rhs103" localSheetId="2" hidden="1">Calculation!$G$30</definedName>
    <definedName name="solver_rhs104" localSheetId="2" hidden="1">Calculation!$G$33</definedName>
    <definedName name="solver_rhs105" localSheetId="2" hidden="1">Calculation!$G$33</definedName>
    <definedName name="solver_rhs106" localSheetId="2" hidden="1">Calculation!$G$33</definedName>
    <definedName name="solver_rhs107" localSheetId="2" hidden="1">Calculation!$H$34</definedName>
    <definedName name="solver_rhs108" localSheetId="2" hidden="1">Calculation!$G$30</definedName>
    <definedName name="solver_rhs109" localSheetId="2" hidden="1">Calculation!$H$34</definedName>
    <definedName name="solver_rhs11" localSheetId="2" hidden="1">Calculation!$E$33</definedName>
    <definedName name="solver_rhs110" localSheetId="2" hidden="1">Calculation!$H$34</definedName>
    <definedName name="solver_rhs111" localSheetId="2" hidden="1">Calculation!$H$21</definedName>
    <definedName name="solver_rhs112" localSheetId="2" hidden="1">Calculation!$G$33</definedName>
    <definedName name="solver_rhs113" localSheetId="2" hidden="1">Calculation!$H$21</definedName>
    <definedName name="solver_rhs114" localSheetId="2" hidden="1">Calculation!$H$21</definedName>
    <definedName name="solver_rhs115" localSheetId="2" hidden="1">Calculation!$G$33</definedName>
    <definedName name="solver_rhs116" localSheetId="2" hidden="1">Calculation!$H$30</definedName>
    <definedName name="solver_rhs117" localSheetId="2" hidden="1">Calculation!$H$30</definedName>
    <definedName name="solver_rhs118" localSheetId="2" hidden="1">Calculation!$H$21</definedName>
    <definedName name="solver_rhs119" localSheetId="2" hidden="1">Calculation!$H$30</definedName>
    <definedName name="solver_rhs12" localSheetId="2" hidden="1">Calculation!$E$34</definedName>
    <definedName name="solver_rhs120" localSheetId="2" hidden="1">Calculation!$H$33</definedName>
    <definedName name="solver_rhs121" localSheetId="2" hidden="1">Calculation!$I$34</definedName>
    <definedName name="solver_rhs122" localSheetId="2" hidden="1">Calculation!$H$33</definedName>
    <definedName name="solver_rhs123" localSheetId="2" hidden="1">Calculation!$H$34</definedName>
    <definedName name="solver_rhs124" localSheetId="2" hidden="1">Calculation!$I$21</definedName>
    <definedName name="solver_rhs125" localSheetId="2" hidden="1">Calculation!$I$30</definedName>
    <definedName name="solver_rhs126" localSheetId="2" hidden="1">Calculation!$I$33</definedName>
    <definedName name="solver_rhs127" localSheetId="2" hidden="1">Calculation!$J$21</definedName>
    <definedName name="solver_rhs128" localSheetId="2" hidden="1">Calculation!$J$30</definedName>
    <definedName name="solver_rhs129" localSheetId="2" hidden="1">Calculation!$J$33</definedName>
    <definedName name="solver_rhs13" localSheetId="2" hidden="1">Calculation!$F$21</definedName>
    <definedName name="solver_rhs130" localSheetId="2" hidden="1">Calculation!$K$34</definedName>
    <definedName name="solver_rhs131" localSheetId="2" hidden="1">Calculation!$J$34</definedName>
    <definedName name="solver_rhs132" localSheetId="2" hidden="1">Calculation!$K$21</definedName>
    <definedName name="solver_rhs133" localSheetId="2" hidden="1">Calculation!$K$30</definedName>
    <definedName name="solver_rhs134" localSheetId="2" hidden="1">Calculation!$K$33</definedName>
    <definedName name="solver_rhs135" localSheetId="2" hidden="1">Calculation!$L$21</definedName>
    <definedName name="solver_rhs136" localSheetId="2" hidden="1">Calculation!$L$30</definedName>
    <definedName name="solver_rhs137" localSheetId="2" hidden="1">Calculation!$L$33</definedName>
    <definedName name="solver_rhs138" localSheetId="2" hidden="1">Calculation!$M$30</definedName>
    <definedName name="solver_rhs139" localSheetId="2" hidden="1">Calculation!$M$21</definedName>
    <definedName name="solver_rhs14" localSheetId="2" hidden="1">Calculation!$F$30</definedName>
    <definedName name="solver_rhs140" localSheetId="2" hidden="1">Calculation!$M$34</definedName>
    <definedName name="solver_rhs141" localSheetId="2" hidden="1">Calculation!$L$34</definedName>
    <definedName name="solver_rhs142" localSheetId="2" hidden="1">Calculation!$M$33</definedName>
    <definedName name="solver_rhs143" localSheetId="2" hidden="1">Calculation!$N$34</definedName>
    <definedName name="solver_rhs144" localSheetId="2" hidden="1">Calculation!$E$21</definedName>
    <definedName name="solver_rhs145" localSheetId="2" hidden="1">Calculation!$E$30</definedName>
    <definedName name="solver_rhs146" localSheetId="2" hidden="1">Calculation!$E$33</definedName>
    <definedName name="solver_rhs147" localSheetId="2" hidden="1">Calculation!$F$21</definedName>
    <definedName name="solver_rhs148" localSheetId="2" hidden="1">Calculation!$F$30</definedName>
    <definedName name="solver_rhs149" localSheetId="2" hidden="1">Calculation!$G$34</definedName>
    <definedName name="solver_rhs15" localSheetId="2" hidden="1">Calculation!$F$33</definedName>
    <definedName name="solver_rhs150" localSheetId="2" hidden="1">Calculation!$F$33</definedName>
    <definedName name="solver_rhs151" localSheetId="2" hidden="1">Calculation!$G$21</definedName>
    <definedName name="solver_rhs152" localSheetId="2" hidden="1">Calculation!$G$30</definedName>
    <definedName name="solver_rhs153" localSheetId="2" hidden="1">Calculation!$H$21</definedName>
    <definedName name="solver_rhs154" localSheetId="2" hidden="1">Calculation!$H$34</definedName>
    <definedName name="solver_rhs155" localSheetId="2" hidden="1">Calculation!$G$33</definedName>
    <definedName name="solver_rhs156" localSheetId="2" hidden="1">Calculation!$H$21</definedName>
    <definedName name="solver_rhs157" localSheetId="2" hidden="1">Calculation!$H$30</definedName>
    <definedName name="solver_rhs158" localSheetId="2" hidden="1">Calculation!$H$33</definedName>
    <definedName name="solver_rhs159" localSheetId="2" hidden="1">Calculation!$H$30</definedName>
    <definedName name="solver_rhs16" localSheetId="2" hidden="1">Calculation!$F$34</definedName>
    <definedName name="solver_rhs160" localSheetId="2" hidden="1">Calculation!$H$33</definedName>
    <definedName name="solver_rhs161" localSheetId="2" hidden="1">Calculation!$I$34</definedName>
    <definedName name="solver_rhs162" localSheetId="2" hidden="1">Calculation!$I$21</definedName>
    <definedName name="solver_rhs163" localSheetId="2" hidden="1">Calculation!$I$34</definedName>
    <definedName name="solver_rhs164" localSheetId="2" hidden="1">Calculation!$H$33</definedName>
    <definedName name="solver_rhs165" localSheetId="2" hidden="1">Calculation!$I$21</definedName>
    <definedName name="solver_rhs166" localSheetId="2" hidden="1">Calculation!$I$30</definedName>
    <definedName name="solver_rhs167" localSheetId="2" hidden="1">Calculation!$I$30</definedName>
    <definedName name="solver_rhs168" localSheetId="2" hidden="1">Calculation!$H$30</definedName>
    <definedName name="solver_rhs169" localSheetId="2" hidden="1">Calculation!$J$34</definedName>
    <definedName name="solver_rhs17" localSheetId="2" hidden="1">Calculation!$G$21</definedName>
    <definedName name="solver_rhs170" localSheetId="2" hidden="1">Calculation!$J$33</definedName>
    <definedName name="solver_rhs171" localSheetId="2" hidden="1">Calculation!$J$30</definedName>
    <definedName name="solver_rhs172" localSheetId="2" hidden="1">Calculation!$J$21</definedName>
    <definedName name="solver_rhs173" localSheetId="2" hidden="1">Calculation!$I$34</definedName>
    <definedName name="solver_rhs174" localSheetId="2" hidden="1">Calculation!$I$34</definedName>
    <definedName name="solver_rhs175" localSheetId="2" hidden="1">Calculation!$H$33</definedName>
    <definedName name="solver_rhs176" localSheetId="2" hidden="1">Calculation!$I$34</definedName>
    <definedName name="solver_rhs177" localSheetId="2" hidden="1">Calculation!$H$34</definedName>
    <definedName name="solver_rhs178" localSheetId="2" hidden="1">Calculation!$I$21</definedName>
    <definedName name="solver_rhs179" localSheetId="2" hidden="1">Calculation!$I$33</definedName>
    <definedName name="solver_rhs18" localSheetId="2" hidden="1">Calculation!$G$30</definedName>
    <definedName name="solver_rhs180" localSheetId="2" hidden="1">Calculation!$I$30</definedName>
    <definedName name="solver_rhs181" localSheetId="2" hidden="1">Calculation!$I$33</definedName>
    <definedName name="solver_rhs182" localSheetId="2" hidden="1">Calculation!$I$21</definedName>
    <definedName name="solver_rhs183" localSheetId="2" hidden="1">Calculation!$J$34</definedName>
    <definedName name="solver_rhs184" localSheetId="2" hidden="1">Calculation!$I$33</definedName>
    <definedName name="solver_rhs185" localSheetId="2" hidden="1">Calculation!$J$21</definedName>
    <definedName name="solver_rhs186" localSheetId="2" hidden="1">Calculation!$J$34</definedName>
    <definedName name="solver_rhs187" localSheetId="2" hidden="1">Calculation!$I$30</definedName>
    <definedName name="solver_rhs188" localSheetId="2" hidden="1">Calculation!$J$30</definedName>
    <definedName name="solver_rhs189" localSheetId="2" hidden="1">Calculation!$J$33</definedName>
    <definedName name="solver_rhs19" localSheetId="2" hidden="1">Calculation!$G$33</definedName>
    <definedName name="solver_rhs190" localSheetId="2" hidden="1">Calculation!$J$30</definedName>
    <definedName name="solver_rhs191" localSheetId="2" hidden="1">Calculation!$L$33</definedName>
    <definedName name="solver_rhs192" localSheetId="2" hidden="1">Calculation!$L$30</definedName>
    <definedName name="solver_rhs193" localSheetId="2" hidden="1">Calculation!$L$21</definedName>
    <definedName name="solver_rhs194" localSheetId="2" hidden="1">Calculation!$K$34</definedName>
    <definedName name="solver_rhs195" localSheetId="2" hidden="1">Calculation!$K$34</definedName>
    <definedName name="solver_rhs196" localSheetId="2" hidden="1">Calculation!$K$34</definedName>
    <definedName name="solver_rhs197" localSheetId="2" hidden="1">Calculation!$K$34</definedName>
    <definedName name="solver_rhs198" localSheetId="2" hidden="1">Calculation!$K$30</definedName>
    <definedName name="solver_rhs199" localSheetId="2" hidden="1">Calculation!$K$33</definedName>
    <definedName name="solver_rhs2" localSheetId="2" hidden="1">Calculation!$C$30</definedName>
    <definedName name="solver_rhs2" localSheetId="0" hidden="1">Input!$T$13</definedName>
    <definedName name="solver_rhs20" localSheetId="2" hidden="1">Calculation!$G$34</definedName>
    <definedName name="solver_rhs200" localSheetId="2" hidden="1">Calculation!$J$33</definedName>
    <definedName name="solver_rhs201" localSheetId="2" hidden="1">Calculation!$L$34</definedName>
    <definedName name="solver_rhs202" localSheetId="2" hidden="1">Calculation!$L$33</definedName>
    <definedName name="solver_rhs203" localSheetId="2" hidden="1">Calculation!$M$30</definedName>
    <definedName name="solver_rhs204" localSheetId="2" hidden="1">Calculation!$M$33</definedName>
    <definedName name="solver_rhs205" localSheetId="2" hidden="1">Calculation!$N$34</definedName>
    <definedName name="solver_rhs206" localSheetId="2" hidden="1">Calculation!$N$33</definedName>
    <definedName name="solver_rhs207" localSheetId="2" hidden="1">Calculation!$N$30</definedName>
    <definedName name="solver_rhs208" localSheetId="2" hidden="1">Calculation!$N$21</definedName>
    <definedName name="solver_rhs209" localSheetId="2" hidden="1">Calculation!$M$34</definedName>
    <definedName name="solver_rhs21" localSheetId="2" hidden="1">Calculation!$H$21</definedName>
    <definedName name="solver_rhs210" localSheetId="2" hidden="1">Calculation!$L$30</definedName>
    <definedName name="solver_rhs211" localSheetId="2" hidden="1">Calculation!$N$34</definedName>
    <definedName name="solver_rhs212" localSheetId="2" hidden="1">Calculation!$N$33</definedName>
    <definedName name="solver_rhs213" localSheetId="2" hidden="1">Calculation!$N$30</definedName>
    <definedName name="solver_rhs214" localSheetId="2" hidden="1">Calculation!$N$21</definedName>
    <definedName name="solver_rhs215" localSheetId="2" hidden="1">Calculation!$M$34</definedName>
    <definedName name="solver_rhs216" localSheetId="2" hidden="1">Calculation!$M$33</definedName>
    <definedName name="solver_rhs217" localSheetId="2" hidden="1">Calculation!$M$30</definedName>
    <definedName name="solver_rhs218" localSheetId="2" hidden="1">Calculation!$M$21</definedName>
    <definedName name="solver_rhs219" localSheetId="2" hidden="1">Calculation!$L$34</definedName>
    <definedName name="solver_rhs22" localSheetId="2" hidden="1">Calculation!$H$30</definedName>
    <definedName name="solver_rhs220" localSheetId="2" hidden="1">Calculation!$K$30</definedName>
    <definedName name="solver_rhs221" localSheetId="2" hidden="1">Calculation!$M$34</definedName>
    <definedName name="solver_rhs222" localSheetId="2" hidden="1">Calculation!$L$30</definedName>
    <definedName name="solver_rhs223" localSheetId="2" hidden="1">Calculation!$M$30</definedName>
    <definedName name="solver_rhs224" localSheetId="2" hidden="1">Calculation!$I$21</definedName>
    <definedName name="solver_rhs225" localSheetId="2" hidden="1">Calculation!$N$34</definedName>
    <definedName name="solver_rhs226" localSheetId="2" hidden="1">Calculation!$I$33</definedName>
    <definedName name="solver_rhs227" localSheetId="2" hidden="1">Calculation!$K$21</definedName>
    <definedName name="solver_rhs228" localSheetId="2" hidden="1">Calculation!$J$21</definedName>
    <definedName name="solver_rhs229" localSheetId="2" hidden="1">Calculation!$K$21</definedName>
    <definedName name="solver_rhs23" localSheetId="2" hidden="1">Calculation!$H$33</definedName>
    <definedName name="solver_rhs230" localSheetId="2" hidden="1">Calculation!$K$30</definedName>
    <definedName name="solver_rhs231" localSheetId="2" hidden="1">Calculation!$K$33</definedName>
    <definedName name="solver_rhs232" localSheetId="2" hidden="1">Calculation!$K$21</definedName>
    <definedName name="solver_rhs233" localSheetId="2" hidden="1">Calculation!$K$33</definedName>
    <definedName name="solver_rhs234" localSheetId="2" hidden="1">Calculation!$K$33</definedName>
    <definedName name="solver_rhs235" localSheetId="2" hidden="1">Calculation!$L$21</definedName>
    <definedName name="solver_rhs236" localSheetId="2" hidden="1">Calculation!$L$21</definedName>
    <definedName name="solver_rhs237" localSheetId="2" hidden="1">Calculation!$L$33</definedName>
    <definedName name="solver_rhs238" localSheetId="2" hidden="1">Calculation!$L$21</definedName>
    <definedName name="solver_rhs239" localSheetId="2" hidden="1">Calculation!$L$30</definedName>
    <definedName name="solver_rhs24" localSheetId="2" hidden="1">Calculation!$H$34</definedName>
    <definedName name="solver_rhs240" localSheetId="2" hidden="1">Calculation!$L$33</definedName>
    <definedName name="solver_rhs241" localSheetId="2" hidden="1">Calculation!$N$34</definedName>
    <definedName name="solver_rhs242" localSheetId="2" hidden="1">Calculation!$N$33</definedName>
    <definedName name="solver_rhs243" localSheetId="2" hidden="1">Calculation!$N$30</definedName>
    <definedName name="solver_rhs244" localSheetId="2" hidden="1">Calculation!$N$21</definedName>
    <definedName name="solver_rhs245" localSheetId="2" hidden="1">Calculation!$M$34</definedName>
    <definedName name="solver_rhs246" localSheetId="2" hidden="1">Calculation!$L$34</definedName>
    <definedName name="solver_rhs247" localSheetId="2" hidden="1">Calculation!$M$33</definedName>
    <definedName name="solver_rhs248" localSheetId="2" hidden="1">Calculation!$M$30</definedName>
    <definedName name="solver_rhs249" localSheetId="2" hidden="1">Calculation!$M$21</definedName>
    <definedName name="solver_rhs25" localSheetId="2" hidden="1">Calculation!$I$21</definedName>
    <definedName name="solver_rhs250" localSheetId="2" hidden="1">Calculation!$J$21</definedName>
    <definedName name="solver_rhs251" localSheetId="2" hidden="1">Calculation!$J$30</definedName>
    <definedName name="solver_rhs252" localSheetId="2" hidden="1">Calculation!$J$33</definedName>
    <definedName name="solver_rhs253" localSheetId="2" hidden="1">Calculation!$J$34</definedName>
    <definedName name="solver_rhs254" localSheetId="2" hidden="1">Calculation!$I$30</definedName>
    <definedName name="solver_rhs255" localSheetId="2" hidden="1">Calculation!$N$33</definedName>
    <definedName name="solver_rhs256" localSheetId="2" hidden="1">Calculation!$N$30</definedName>
    <definedName name="solver_rhs257" localSheetId="2" hidden="1">Calculation!$N$21</definedName>
    <definedName name="solver_rhs258" localSheetId="2" hidden="1">Calculation!$M$34</definedName>
    <definedName name="solver_rhs259" localSheetId="2" hidden="1">Calculation!$M$33</definedName>
    <definedName name="solver_rhs26" localSheetId="2" hidden="1">Calculation!$I$30</definedName>
    <definedName name="solver_rhs260" localSheetId="2" hidden="1">Calculation!$M$30</definedName>
    <definedName name="solver_rhs261" localSheetId="2" hidden="1">Calculation!$M$21</definedName>
    <definedName name="solver_rhs262" localSheetId="2" hidden="1">Calculation!$L$34</definedName>
    <definedName name="solver_rhs263" localSheetId="2" hidden="1">Calculation!$L$33</definedName>
    <definedName name="solver_rhs264" localSheetId="2" hidden="1">Calculation!$L$30</definedName>
    <definedName name="solver_rhs265" localSheetId="2" hidden="1">Calculation!$L$21</definedName>
    <definedName name="solver_rhs266" localSheetId="2" hidden="1">Calculation!$K$34</definedName>
    <definedName name="solver_rhs267" localSheetId="2" hidden="1">Calculation!$K$33</definedName>
    <definedName name="solver_rhs268" localSheetId="2" hidden="1">Calculation!$K$30</definedName>
    <definedName name="solver_rhs269" localSheetId="2" hidden="1">Calculation!$K$21</definedName>
    <definedName name="solver_rhs27" localSheetId="2" hidden="1">Calculation!$I$33</definedName>
    <definedName name="solver_rhs270" localSheetId="2" hidden="1">Calculation!$J$34</definedName>
    <definedName name="solver_rhs271" localSheetId="2" hidden="1">Calculation!$I$33</definedName>
    <definedName name="solver_rhs272" localSheetId="2" hidden="1">Calculation!$J$21</definedName>
    <definedName name="solver_rhs273" localSheetId="2" hidden="1">Calculation!$J$30</definedName>
    <definedName name="solver_rhs274" localSheetId="2" hidden="1">Calculation!$J$33</definedName>
    <definedName name="solver_rhs275" localSheetId="2" hidden="1">Calculation!$M$21</definedName>
    <definedName name="solver_rhs276" localSheetId="2" hidden="1">Calculation!$M$33</definedName>
    <definedName name="solver_rhs277" localSheetId="2" hidden="1">Calculation!$N$34</definedName>
    <definedName name="solver_rhs278" localSheetId="2" hidden="1">Calculation!$K$21</definedName>
    <definedName name="solver_rhs279" localSheetId="2" hidden="1">Calculation!$K$30</definedName>
    <definedName name="solver_rhs28" localSheetId="2" hidden="1">Calculation!$I$34</definedName>
    <definedName name="solver_rhs280" localSheetId="2" hidden="1">Calculation!$L$34</definedName>
    <definedName name="solver_rhs281" localSheetId="2" hidden="1">Calculation!$M$21</definedName>
    <definedName name="solver_rhs282" localSheetId="2" hidden="1">Calculation!$C$21</definedName>
    <definedName name="solver_rhs283" localSheetId="2" hidden="1">Calculation!$N$21</definedName>
    <definedName name="solver_rhs284" localSheetId="2" hidden="1">Calculation!$N$30</definedName>
    <definedName name="solver_rhs285" localSheetId="2" hidden="1">Calculation!$N$21</definedName>
    <definedName name="solver_rhs286" localSheetId="2" hidden="1">Calculation!$N$30</definedName>
    <definedName name="solver_rhs287" localSheetId="2" hidden="1">Calculation!$N$33</definedName>
    <definedName name="solver_rhs288" localSheetId="2" hidden="1">Calculation!$N$33</definedName>
    <definedName name="solver_rhs289" localSheetId="2" hidden="1">Calculation!$N$34</definedName>
    <definedName name="solver_rhs29" localSheetId="2" hidden="1">Calculation!$J$21</definedName>
    <definedName name="solver_rhs290" localSheetId="2" hidden="1">Calculation!$N$33</definedName>
    <definedName name="solver_rhs291" localSheetId="2" hidden="1">Calculation!$N$30</definedName>
    <definedName name="solver_rhs292" localSheetId="2" hidden="1">Calculation!$N$21</definedName>
    <definedName name="solver_rhs293" localSheetId="2" hidden="1">Calculation!$M$34</definedName>
    <definedName name="solver_rhs294" localSheetId="2" hidden="1">Calculation!$M$33</definedName>
    <definedName name="solver_rhs295" localSheetId="2" hidden="1">Calculation!$M$30</definedName>
    <definedName name="solver_rhs296" localSheetId="2" hidden="1">Calculation!$M$21</definedName>
    <definedName name="solver_rhs297" localSheetId="2" hidden="1">Calculation!$L$34</definedName>
    <definedName name="solver_rhs298" localSheetId="2" hidden="1">Calculation!$L$33</definedName>
    <definedName name="solver_rhs299" localSheetId="2" hidden="1">Calculation!$L$30</definedName>
    <definedName name="solver_rhs3" localSheetId="2" hidden="1">Calculation!$C$33</definedName>
    <definedName name="solver_rhs3" localSheetId="0" hidden="1">Input!$T$14</definedName>
    <definedName name="solver_rhs30" localSheetId="2" hidden="1">Calculation!$J$30</definedName>
    <definedName name="solver_rhs300" localSheetId="2" hidden="1">Calculation!$L$21</definedName>
    <definedName name="solver_rhs301" localSheetId="2" hidden="1">Calculation!$K$34</definedName>
    <definedName name="solver_rhs302" localSheetId="2" hidden="1">Calculation!$K$33</definedName>
    <definedName name="solver_rhs303" localSheetId="2" hidden="1">Calculation!$K$30</definedName>
    <definedName name="solver_rhs304" localSheetId="2" hidden="1">Calculation!$K$21</definedName>
    <definedName name="solver_rhs305" localSheetId="2" hidden="1">Calculation!$J$34</definedName>
    <definedName name="solver_rhs306" localSheetId="2" hidden="1">Calculation!$J$33</definedName>
    <definedName name="solver_rhs307" localSheetId="2" hidden="1">Calculation!$J$30</definedName>
    <definedName name="solver_rhs308" localSheetId="2" hidden="1">Calculation!$J$21</definedName>
    <definedName name="solver_rhs309" localSheetId="2" hidden="1">Calculation!$I$34</definedName>
    <definedName name="solver_rhs31" localSheetId="2" hidden="1">Calculation!$J$33</definedName>
    <definedName name="solver_rhs310" localSheetId="2" hidden="1">Calculation!$I$33</definedName>
    <definedName name="solver_rhs311" localSheetId="2" hidden="1">Calculation!$I$30</definedName>
    <definedName name="solver_rhs312" localSheetId="2" hidden="1">Calculation!$I$21</definedName>
    <definedName name="solver_rhs313" localSheetId="2" hidden="1">Calculation!$H$34</definedName>
    <definedName name="solver_rhs314" localSheetId="2" hidden="1">Calculation!$H$33</definedName>
    <definedName name="solver_rhs315" localSheetId="2" hidden="1">Calculation!$H$30</definedName>
    <definedName name="solver_rhs316" localSheetId="2" hidden="1">Calculation!$H$21</definedName>
    <definedName name="solver_rhs317" localSheetId="2" hidden="1">Calculation!$G$34</definedName>
    <definedName name="solver_rhs318" localSheetId="2" hidden="1">Calculation!$G$33</definedName>
    <definedName name="solver_rhs319" localSheetId="2" hidden="1">Calculation!$G$30</definedName>
    <definedName name="solver_rhs32" localSheetId="2" hidden="1">Calculation!$J$34</definedName>
    <definedName name="solver_rhs320" localSheetId="2" hidden="1">Calculation!$G$21</definedName>
    <definedName name="solver_rhs321" localSheetId="2" hidden="1">Calculation!$F$34</definedName>
    <definedName name="solver_rhs322" localSheetId="2" hidden="1">Calculation!$F$33</definedName>
    <definedName name="solver_rhs323" localSheetId="2" hidden="1">Calculation!$F$30</definedName>
    <definedName name="solver_rhs324" localSheetId="2" hidden="1">Calculation!$F$21</definedName>
    <definedName name="solver_rhs325" localSheetId="2" hidden="1">Calculation!$E$34</definedName>
    <definedName name="solver_rhs326" localSheetId="2" hidden="1">Calculation!$E$33</definedName>
    <definedName name="solver_rhs327" localSheetId="2" hidden="1">Calculation!$E$30</definedName>
    <definedName name="solver_rhs328" localSheetId="2" hidden="1">Calculation!$E$21</definedName>
    <definedName name="solver_rhs329" localSheetId="2" hidden="1">Calculation!$D$34</definedName>
    <definedName name="solver_rhs33" localSheetId="2" hidden="1">Calculation!$K$21</definedName>
    <definedName name="solver_rhs330" localSheetId="2" hidden="1">Calculation!$D$33</definedName>
    <definedName name="solver_rhs331" localSheetId="2" hidden="1">Calculation!$D$30</definedName>
    <definedName name="solver_rhs332" localSheetId="2" hidden="1">Calculation!$D$21</definedName>
    <definedName name="solver_rhs333" localSheetId="2" hidden="1">Calculation!$C$34</definedName>
    <definedName name="solver_rhs334" localSheetId="2" hidden="1">Calculation!$C$21</definedName>
    <definedName name="solver_rhs335" localSheetId="2" hidden="1">Calculation!$C$30</definedName>
    <definedName name="solver_rhs336" localSheetId="2" hidden="1">Calculation!$C$33</definedName>
    <definedName name="solver_rhs34" localSheetId="2" hidden="1">Calculation!$K$30</definedName>
    <definedName name="solver_rhs35" localSheetId="2" hidden="1">Calculation!$K$33</definedName>
    <definedName name="solver_rhs36" localSheetId="2" hidden="1">Calculation!$K$34</definedName>
    <definedName name="solver_rhs37" localSheetId="2" hidden="1">Calculation!$L$21</definedName>
    <definedName name="solver_rhs38" localSheetId="2" hidden="1">Calculation!$L$30</definedName>
    <definedName name="solver_rhs39" localSheetId="2" hidden="1">Calculation!$L$33</definedName>
    <definedName name="solver_rhs4" localSheetId="2" hidden="1">Calculation!$C$34</definedName>
    <definedName name="solver_rhs4" localSheetId="0" hidden="1">Input!#REF!</definedName>
    <definedName name="solver_rhs40" localSheetId="2" hidden="1">Calculation!$L$34</definedName>
    <definedName name="solver_rhs41" localSheetId="2" hidden="1">Calculation!$M$21</definedName>
    <definedName name="solver_rhs42" localSheetId="2" hidden="1">Calculation!$M$30</definedName>
    <definedName name="solver_rhs43" localSheetId="2" hidden="1">Calculation!$M$33</definedName>
    <definedName name="solver_rhs44" localSheetId="2" hidden="1">Calculation!$M$34</definedName>
    <definedName name="solver_rhs45" localSheetId="2" hidden="1">Calculation!$N$21</definedName>
    <definedName name="solver_rhs46" localSheetId="2" hidden="1">Calculation!$N$30</definedName>
    <definedName name="solver_rhs47" localSheetId="2" hidden="1">Calculation!$N$33</definedName>
    <definedName name="solver_rhs48" localSheetId="2" hidden="1">Calculation!$N$34</definedName>
    <definedName name="solver_rhs49" localSheetId="2" hidden="1">Calculation!$C$21</definedName>
    <definedName name="solver_rhs5" localSheetId="2" hidden="1">Calculation!$D$21</definedName>
    <definedName name="solver_rhs50" localSheetId="2" hidden="1">Calculation!$C$30</definedName>
    <definedName name="solver_rhs51" localSheetId="2" hidden="1">Calculation!$C$33</definedName>
    <definedName name="solver_rhs52" localSheetId="2" hidden="1">Calculation!$C$34</definedName>
    <definedName name="solver_rhs53" localSheetId="2" hidden="1">Calculation!$D$21</definedName>
    <definedName name="solver_rhs54" localSheetId="2" hidden="1">Calculation!$D$30</definedName>
    <definedName name="solver_rhs55" localSheetId="2" hidden="1">Calculation!$D$33</definedName>
    <definedName name="solver_rhs56" localSheetId="2" hidden="1">Calculation!$D$34</definedName>
    <definedName name="solver_rhs57" localSheetId="2" hidden="1">Calculation!$E$21</definedName>
    <definedName name="solver_rhs58" localSheetId="2" hidden="1">Calculation!$E$30</definedName>
    <definedName name="solver_rhs59" localSheetId="2" hidden="1">Calculation!$E$33</definedName>
    <definedName name="solver_rhs6" localSheetId="2" hidden="1">Calculation!$D$30</definedName>
    <definedName name="solver_rhs60" localSheetId="2" hidden="1">Calculation!$E$34</definedName>
    <definedName name="solver_rhs61" localSheetId="2" hidden="1">Calculation!$F$21</definedName>
    <definedName name="solver_rhs62" localSheetId="2" hidden="1">Calculation!$F$30</definedName>
    <definedName name="solver_rhs63" localSheetId="2" hidden="1">Calculation!$F$33</definedName>
    <definedName name="solver_rhs64" localSheetId="2" hidden="1">Calculation!$F$34</definedName>
    <definedName name="solver_rhs65" localSheetId="2" hidden="1">Calculation!$G$21</definedName>
    <definedName name="solver_rhs66" localSheetId="2" hidden="1">Calculation!$G$30</definedName>
    <definedName name="solver_rhs67" localSheetId="2" hidden="1">Calculation!$G$33</definedName>
    <definedName name="solver_rhs68" localSheetId="2" hidden="1">Calculation!$G$34</definedName>
    <definedName name="solver_rhs69" localSheetId="2" hidden="1">Calculation!$H$21</definedName>
    <definedName name="solver_rhs7" localSheetId="2" hidden="1">Calculation!$D$33</definedName>
    <definedName name="solver_rhs70" localSheetId="2" hidden="1">Calculation!$H$30</definedName>
    <definedName name="solver_rhs71" localSheetId="2" hidden="1">Calculation!$H$33</definedName>
    <definedName name="solver_rhs72" localSheetId="2" hidden="1">Calculation!$H$34</definedName>
    <definedName name="solver_rhs73" localSheetId="2" hidden="1">Calculation!$I$21</definedName>
    <definedName name="solver_rhs74" localSheetId="2" hidden="1">Calculation!$I$30</definedName>
    <definedName name="solver_rhs75" localSheetId="2" hidden="1">Calculation!$I$33</definedName>
    <definedName name="solver_rhs76" localSheetId="2" hidden="1">Calculation!$I$34</definedName>
    <definedName name="solver_rhs77" localSheetId="2" hidden="1">Calculation!$J$21</definedName>
    <definedName name="solver_rhs78" localSheetId="2" hidden="1">Calculation!$J$30</definedName>
    <definedName name="solver_rhs79" localSheetId="2" hidden="1">Calculation!$J$33</definedName>
    <definedName name="solver_rhs8" localSheetId="2" hidden="1">Calculation!$D$34</definedName>
    <definedName name="solver_rhs80" localSheetId="2" hidden="1">Calculation!$J$34</definedName>
    <definedName name="solver_rhs81" localSheetId="2" hidden="1">Calculation!$K$21</definedName>
    <definedName name="solver_rhs82" localSheetId="2" hidden="1">Calculation!$K$30</definedName>
    <definedName name="solver_rhs83" localSheetId="2" hidden="1">Calculation!$K$33</definedName>
    <definedName name="solver_rhs84" localSheetId="2" hidden="1">Calculation!$K$34</definedName>
    <definedName name="solver_rhs85" localSheetId="2" hidden="1">Calculation!$L$21</definedName>
    <definedName name="solver_rhs86" localSheetId="2" hidden="1">Calculation!$L$30</definedName>
    <definedName name="solver_rhs87" localSheetId="2" hidden="1">Calculation!$L$33</definedName>
    <definedName name="solver_rhs88" localSheetId="2" hidden="1">Calculation!$L$34</definedName>
    <definedName name="solver_rhs89" localSheetId="2" hidden="1">Calculation!$M$21</definedName>
    <definedName name="solver_rhs9" localSheetId="2" hidden="1">Calculation!$E$21</definedName>
    <definedName name="solver_rhs90" localSheetId="2" hidden="1">Calculation!$M$30</definedName>
    <definedName name="solver_rhs91" localSheetId="2" hidden="1">Calculation!$M$33</definedName>
    <definedName name="solver_rhs92" localSheetId="2" hidden="1">Calculation!$M$34</definedName>
    <definedName name="solver_rhs93" localSheetId="2" hidden="1">Calculation!$N$21</definedName>
    <definedName name="solver_rhs94" localSheetId="2" hidden="1">Calculation!$N$30</definedName>
    <definedName name="solver_rhs95" localSheetId="2" hidden="1">Calculation!$N$33</definedName>
    <definedName name="solver_rhs96" localSheetId="2" hidden="1">Calculation!$N$34</definedName>
    <definedName name="solver_rhs97" localSheetId="2" hidden="1">Calculation!$G$21</definedName>
    <definedName name="solver_rhs98" localSheetId="2" hidden="1">Calculation!$G$30</definedName>
    <definedName name="solver_rhs99" localSheetId="2" hidden="1">Calculation!$F$33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0" l="1"/>
  <c r="P10" i="10"/>
  <c r="P9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C30" i="10"/>
  <c r="D30" i="10"/>
  <c r="E30" i="10"/>
  <c r="F30" i="10"/>
  <c r="G30" i="10"/>
  <c r="H30" i="10"/>
  <c r="I30" i="10"/>
  <c r="J30" i="10"/>
  <c r="K30" i="10"/>
  <c r="L30" i="10"/>
  <c r="M30" i="10"/>
  <c r="N30" i="10"/>
  <c r="C25" i="10"/>
  <c r="D25" i="10"/>
  <c r="E25" i="10"/>
  <c r="F25" i="10"/>
  <c r="G25" i="10"/>
  <c r="G28" i="10" s="1"/>
  <c r="H25" i="10"/>
  <c r="H28" i="10" s="1"/>
  <c r="I25" i="10"/>
  <c r="J25" i="10"/>
  <c r="J28" i="10" s="1"/>
  <c r="K25" i="10"/>
  <c r="L25" i="10"/>
  <c r="M25" i="10"/>
  <c r="N25" i="10"/>
  <c r="C26" i="10"/>
  <c r="C28" i="10" s="1"/>
  <c r="D26" i="10"/>
  <c r="D28" i="10" s="1"/>
  <c r="E26" i="10"/>
  <c r="F26" i="10"/>
  <c r="F28" i="10" s="1"/>
  <c r="G26" i="10"/>
  <c r="H26" i="10"/>
  <c r="I26" i="10"/>
  <c r="J26" i="10"/>
  <c r="K26" i="10"/>
  <c r="L26" i="10"/>
  <c r="L28" i="10" s="1"/>
  <c r="M26" i="10"/>
  <c r="N26" i="10"/>
  <c r="N28" i="10" s="1"/>
  <c r="C21" i="10"/>
  <c r="D21" i="10"/>
  <c r="E21" i="10"/>
  <c r="F21" i="10"/>
  <c r="G21" i="10"/>
  <c r="H21" i="10"/>
  <c r="I21" i="10"/>
  <c r="J21" i="10"/>
  <c r="K21" i="10"/>
  <c r="L21" i="10"/>
  <c r="M21" i="10"/>
  <c r="N21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C17" i="10"/>
  <c r="D17" i="10"/>
  <c r="E17" i="10"/>
  <c r="F17" i="10"/>
  <c r="G17" i="10"/>
  <c r="H17" i="10"/>
  <c r="I17" i="10"/>
  <c r="J17" i="10"/>
  <c r="K17" i="10"/>
  <c r="L17" i="10"/>
  <c r="M17" i="10"/>
  <c r="N17" i="10"/>
  <c r="C5" i="10"/>
  <c r="C37" i="10" s="1"/>
  <c r="D5" i="10"/>
  <c r="D37" i="10" s="1"/>
  <c r="E5" i="10"/>
  <c r="E37" i="10" s="1"/>
  <c r="F5" i="10"/>
  <c r="F37" i="10" s="1"/>
  <c r="G5" i="10"/>
  <c r="G37" i="10" s="1"/>
  <c r="H5" i="10"/>
  <c r="H37" i="10" s="1"/>
  <c r="I5" i="10"/>
  <c r="I37" i="10" s="1"/>
  <c r="J5" i="10"/>
  <c r="J37" i="10" s="1"/>
  <c r="K5" i="10"/>
  <c r="K37" i="10" s="1"/>
  <c r="L5" i="10"/>
  <c r="L37" i="10" s="1"/>
  <c r="M5" i="10"/>
  <c r="M37" i="10" s="1"/>
  <c r="N5" i="10"/>
  <c r="N37" i="10" s="1"/>
  <c r="C6" i="10"/>
  <c r="C38" i="10" s="1"/>
  <c r="D6" i="10"/>
  <c r="D38" i="10" s="1"/>
  <c r="E6" i="10"/>
  <c r="E38" i="10" s="1"/>
  <c r="F6" i="10"/>
  <c r="F38" i="10" s="1"/>
  <c r="G6" i="10"/>
  <c r="G38" i="10" s="1"/>
  <c r="H6" i="10"/>
  <c r="H38" i="10" s="1"/>
  <c r="I6" i="10"/>
  <c r="I38" i="10" s="1"/>
  <c r="J6" i="10"/>
  <c r="J38" i="10" s="1"/>
  <c r="K6" i="10"/>
  <c r="K38" i="10" s="1"/>
  <c r="L6" i="10"/>
  <c r="L38" i="10" s="1"/>
  <c r="M6" i="10"/>
  <c r="M38" i="10" s="1"/>
  <c r="N6" i="10"/>
  <c r="N38" i="10" s="1"/>
  <c r="AH2" i="7"/>
  <c r="I19" i="10" l="1"/>
  <c r="J19" i="10"/>
  <c r="H19" i="10"/>
  <c r="G19" i="10"/>
  <c r="M19" i="10"/>
  <c r="M28" i="10"/>
  <c r="E28" i="10"/>
  <c r="I28" i="10"/>
  <c r="K28" i="10"/>
  <c r="F19" i="10"/>
  <c r="N19" i="10"/>
  <c r="E19" i="10"/>
  <c r="L19" i="10"/>
  <c r="K19" i="10"/>
  <c r="D19" i="10"/>
  <c r="C12" i="10"/>
</calcChain>
</file>

<file path=xl/sharedStrings.xml><?xml version="1.0" encoding="utf-8"?>
<sst xmlns="http://schemas.openxmlformats.org/spreadsheetml/2006/main" count="182" uniqueCount="53">
  <si>
    <t>Post Optimization Analysis</t>
  </si>
  <si>
    <t>Report</t>
  </si>
  <si>
    <t>Sentivity Analysis</t>
  </si>
  <si>
    <t>Answer Report</t>
  </si>
  <si>
    <t>Car Production Optimization</t>
  </si>
  <si>
    <t>Jan</t>
  </si>
  <si>
    <t xml:space="preserve">Feb 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</si>
  <si>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</si>
  <si>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</si>
  <si>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</si>
  <si>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</si>
  <si>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</si>
  <si>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</si>
  <si>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</si>
  <si>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</si>
  <si>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</si>
  <si>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</si>
  <si>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Car A</t>
  </si>
  <si>
    <t>Car B</t>
  </si>
  <si>
    <t># of Car Production</t>
  </si>
  <si>
    <t>Maximum Profit ($)</t>
  </si>
  <si>
    <t xml:space="preserve">Reqiured (Yes/No) </t>
  </si>
  <si>
    <t>Assembly Time (Days)</t>
  </si>
  <si>
    <t>Days Availability</t>
  </si>
  <si>
    <t>Painting Time (Days)</t>
  </si>
  <si>
    <t>Quantity of Car Production</t>
  </si>
  <si>
    <t>Actual Assembly Time Allocation (Days)</t>
  </si>
  <si>
    <t>Actual Painting Time Allocation(Days)</t>
  </si>
  <si>
    <t>Resource Availability</t>
  </si>
  <si>
    <t>Profits</t>
  </si>
  <si>
    <t>Variables</t>
  </si>
  <si>
    <t>Objective</t>
  </si>
  <si>
    <t>Cosntraint</t>
  </si>
  <si>
    <t>Assembly Time (Days) for 1 Unit of Car</t>
  </si>
  <si>
    <t>CarA</t>
  </si>
  <si>
    <t>CarB</t>
  </si>
  <si>
    <t xml:space="preserve">Assembly Time (Days) </t>
  </si>
  <si>
    <t>Painting Time (Days) (Days) for 1 Unit of Car</t>
  </si>
  <si>
    <t xml:space="preserve">Painting &amp; Finishing Time (Days) </t>
  </si>
  <si>
    <t>Assembly per 1 Car</t>
  </si>
  <si>
    <t>Paint &amp; Fini per 1 Car</t>
  </si>
  <si>
    <t>Minimum Demand of Cars</t>
  </si>
  <si>
    <t>Contractual Amount</t>
  </si>
  <si>
    <t>Demand</t>
  </si>
  <si>
    <t xml:space="preserve"> </t>
  </si>
  <si>
    <t>Actual Assembly Time</t>
  </si>
  <si>
    <t>Actual Painting Time</t>
  </si>
  <si>
    <t>Profitability</t>
  </si>
  <si>
    <t>No</t>
  </si>
  <si>
    <t>Planned Profits for 1 Car ($)</t>
  </si>
  <si>
    <r>
      <t xml:space="preserve">Total </t>
    </r>
    <r>
      <rPr>
        <b/>
        <sz val="11"/>
        <color rgb="FFFF0000"/>
        <rFont val="Calibri"/>
        <family val="2"/>
        <scheme val="minor"/>
      </rPr>
      <t>CarA</t>
    </r>
    <r>
      <rPr>
        <b/>
        <sz val="11"/>
        <color theme="1"/>
        <rFont val="Calibri"/>
        <family val="2"/>
        <scheme val="minor"/>
      </rPr>
      <t xml:space="preserve"> Units</t>
    </r>
  </si>
  <si>
    <r>
      <t xml:space="preserve">Total </t>
    </r>
    <r>
      <rPr>
        <b/>
        <sz val="11"/>
        <color rgb="FF00B0F0"/>
        <rFont val="Calibri"/>
        <family val="2"/>
        <scheme val="minor"/>
      </rPr>
      <t>CarB</t>
    </r>
    <r>
      <rPr>
        <b/>
        <sz val="11"/>
        <color theme="1"/>
        <rFont val="Calibri"/>
        <family val="2"/>
        <scheme val="minor"/>
      </rPr>
      <t xml:space="preserve"> Units</t>
    </r>
  </si>
  <si>
    <t>Annual Profitability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</si>
</sst>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Aharoni"/>
      <charset val="177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3" xfId="0" applyFill="1" applyBorder="1" applyAlignment="1">
      <alignment wrapText="1"/>
    </xf>
    <xf numFmtId="0" fontId="0" fillId="3" borderId="4" xfId="0" applyFill="1" applyBorder="1" applyAlignment="1">
      <alignment horizontal="center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0" xfId="0" applyFill="1"/>
    <xf numFmtId="0" fontId="2" fillId="4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wrapText="1"/>
    </xf>
    <xf numFmtId="0" fontId="0" fillId="3" borderId="5" xfId="0" applyFill="1" applyBorder="1"/>
    <xf numFmtId="0" fontId="0" fillId="3" borderId="6" xfId="0" applyFill="1" applyBorder="1"/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5" fillId="7" borderId="0" xfId="0" applyFont="1" applyFill="1"/>
    <xf numFmtId="0" fontId="6" fillId="7" borderId="0" xfId="0" applyFont="1" applyFill="1"/>
    <xf numFmtId="0" fontId="0" fillId="2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17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Planned Annual Profits</a:t>
            </a:r>
            <a:r>
              <a:rPr lang="en-US" baseline="0"/>
              <a:t> Distribution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Input!$B$7</c:f>
              <c:strCache>
                <c:ptCount val="1"/>
                <c:pt idx="0">
                  <c:v>Car 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Input!$C$6:$N$6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Input!$C$7:$N$7</c:f>
              <c:numCache>
                <c:formatCode>General</c:formatCode>
                <c:ptCount val="12"/>
                <c:pt idx="0">
                  <c:v>12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13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1-4E71-888E-B356CCAB63B2}"/>
            </c:ext>
          </c:extLst>
        </c:ser>
        <c:ser>
          <c:idx val="1"/>
          <c:order val="1"/>
          <c:tx>
            <c:strRef>
              <c:f>Input!$B$8</c:f>
              <c:strCache>
                <c:ptCount val="1"/>
                <c:pt idx="0">
                  <c:v>Car 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Input!$C$6:$N$6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Input!$C$8:$N$8</c:f>
              <c:numCache>
                <c:formatCode>General</c:formatCode>
                <c:ptCount val="12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15</c:v>
                </c:pt>
                <c:pt idx="5">
                  <c:v>9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12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B1-4E71-888E-B356CCAB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9796927"/>
        <c:axId val="989027839"/>
      </c:lineChart>
      <c:catAx>
        <c:axId val="9597969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27839"/>
        <c:crosses val="autoZero"/>
        <c:auto val="1"/>
        <c:lblAlgn val="ctr"/>
        <c:lblOffset val="100"/>
        <c:noMultiLvlLbl val="0"/>
      </c:catAx>
      <c:valAx>
        <c:axId val="9890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79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Assembly</a:t>
            </a:r>
            <a:r>
              <a:rPr lang="en-US" baseline="0"/>
              <a:t> </a:t>
            </a:r>
            <a:r>
              <a:rPr lang="en-US"/>
              <a:t>Days Availability</a:t>
            </a:r>
          </a:p>
        </c:rich>
      </c:tx>
      <c:layout>
        <c:manualLayout>
          <c:xMode val="edge"/>
          <c:yMode val="edge"/>
          <c:x val="0.35037489063867022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Input!$B$28</c:f>
              <c:strCache>
                <c:ptCount val="1"/>
                <c:pt idx="0">
                  <c:v>Days Availability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Input!$C$27:$N$27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Input!$C$28:$N$28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A-449C-9EB4-30A4BCE24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425935"/>
        <c:axId val="993442511"/>
      </c:lineChart>
      <c:catAx>
        <c:axId val="9894259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442511"/>
        <c:crosses val="autoZero"/>
        <c:auto val="1"/>
        <c:lblAlgn val="ctr"/>
        <c:lblOffset val="100"/>
        <c:noMultiLvlLbl val="0"/>
      </c:catAx>
      <c:valAx>
        <c:axId val="99344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Assembly</a:t>
                </a:r>
                <a:r>
                  <a:rPr lang="en-US" baseline="0"/>
                  <a:t> Time (Days)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42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Monthly Painting Days Availability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Input!$B$72</c:f>
              <c:strCache>
                <c:ptCount val="1"/>
                <c:pt idx="0">
                  <c:v>Days Availability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Input!$C$71:$N$71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Input!$C$72:$N$72</c:f>
              <c:numCache>
                <c:formatCode>General</c:formatCode>
                <c:ptCount val="12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14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8-4A30-8591-DDC8376A4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9817807"/>
        <c:axId val="989273583"/>
      </c:lineChart>
      <c:catAx>
        <c:axId val="959817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273583"/>
        <c:crosses val="autoZero"/>
        <c:auto val="1"/>
        <c:lblAlgn val="ctr"/>
        <c:lblOffset val="100"/>
        <c:noMultiLvlLbl val="0"/>
      </c:catAx>
      <c:valAx>
        <c:axId val="98927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Painting Time</a:t>
                </a:r>
                <a:r>
                  <a:rPr lang="en-US" baseline="0"/>
                  <a:t> (Days)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8751033521532682E-2"/>
              <c:y val="0.24168722935478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17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Time(Days) taken to assemble 1 car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Input!$B$49</c:f>
              <c:strCache>
                <c:ptCount val="1"/>
                <c:pt idx="0">
                  <c:v>CarA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Input!$C$48:$N$48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Input!$C$49:$N$49</c:f>
              <c:numCache>
                <c:formatCode>General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09-4C07-8ECD-9E73DB197A42}"/>
            </c:ext>
          </c:extLst>
        </c:ser>
        <c:ser>
          <c:idx val="1"/>
          <c:order val="1"/>
          <c:tx>
            <c:strRef>
              <c:f>Input!$B$50</c:f>
              <c:strCache>
                <c:ptCount val="1"/>
                <c:pt idx="0">
                  <c:v>CarB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Input!$C$48:$N$48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Input!$C$50:$N$50</c:f>
              <c:numCache>
                <c:formatCode>General</c:formatCode>
                <c:ptCount val="12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09-4C07-8ECD-9E73DB1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207407"/>
        <c:axId val="432146719"/>
      </c:lineChart>
      <c:catAx>
        <c:axId val="4432074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6719"/>
        <c:crosses val="autoZero"/>
        <c:auto val="1"/>
        <c:lblAlgn val="ctr"/>
        <c:lblOffset val="100"/>
        <c:noMultiLvlLbl val="0"/>
      </c:catAx>
      <c:valAx>
        <c:axId val="432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Assembly 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20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Time(Days) taken to Paint &amp; Finish 1 car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Input!$B$91</c:f>
              <c:strCache>
                <c:ptCount val="1"/>
                <c:pt idx="0">
                  <c:v>CarA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Input!$C$90:$N$90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Input!$C$91:$N$91</c:f>
              <c:numCache>
                <c:formatCode>General</c:formatCode>
                <c:ptCount val="12"/>
                <c:pt idx="0">
                  <c:v>0.15</c:v>
                </c:pt>
                <c:pt idx="1">
                  <c:v>0.15</c:v>
                </c:pt>
                <c:pt idx="2">
                  <c:v>0.2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0.12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C-4946-9480-1CD7D70335B6}"/>
            </c:ext>
          </c:extLst>
        </c:ser>
        <c:ser>
          <c:idx val="1"/>
          <c:order val="1"/>
          <c:tx>
            <c:strRef>
              <c:f>Input!$B$92</c:f>
              <c:strCache>
                <c:ptCount val="1"/>
                <c:pt idx="0">
                  <c:v>CarB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Input!$C$90:$N$90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Input!$C$92:$N$92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0.13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3C-4946-9480-1CD7D7033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8967391"/>
        <c:axId val="1654131151"/>
      </c:lineChart>
      <c:catAx>
        <c:axId val="17189673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131151"/>
        <c:crosses val="autoZero"/>
        <c:auto val="1"/>
        <c:lblAlgn val="ctr"/>
        <c:lblOffset val="100"/>
        <c:noMultiLvlLbl val="0"/>
      </c:catAx>
      <c:valAx>
        <c:axId val="165413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Paint &amp; Finish Time (Days)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96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Montly Demand</a:t>
            </a:r>
            <a:r>
              <a:rPr lang="en-US" baseline="0"/>
              <a:t> for Car's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Input!$B$115</c:f>
              <c:strCache>
                <c:ptCount val="1"/>
                <c:pt idx="0">
                  <c:v>CarA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Input!$C$114:$N$114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Input!$C$115:$N$115</c:f>
              <c:numCache>
                <c:formatCode>General</c:formatCode>
                <c:ptCount val="12"/>
                <c:pt idx="0">
                  <c:v>9</c:v>
                </c:pt>
                <c:pt idx="1">
                  <c:v>10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9-4B0E-8066-2E4F4D9AE7AB}"/>
            </c:ext>
          </c:extLst>
        </c:ser>
        <c:ser>
          <c:idx val="1"/>
          <c:order val="1"/>
          <c:tx>
            <c:strRef>
              <c:f>Input!$B$116</c:f>
              <c:strCache>
                <c:ptCount val="1"/>
                <c:pt idx="0">
                  <c:v>CarB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Input!$C$114:$N$114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Input!$C$116:$N$116</c:f>
              <c:numCache>
                <c:formatCode>General</c:formatCode>
                <c:ptCount val="12"/>
                <c:pt idx="0">
                  <c:v>10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10</c:v>
                </c:pt>
                <c:pt idx="7">
                  <c:v>13</c:v>
                </c:pt>
                <c:pt idx="8">
                  <c:v>10</c:v>
                </c:pt>
                <c:pt idx="9">
                  <c:v>10</c:v>
                </c:pt>
                <c:pt idx="10">
                  <c:v>14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9-4B0E-8066-2E4F4D9AE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621903"/>
        <c:axId val="1728282975"/>
      </c:lineChart>
      <c:catAx>
        <c:axId val="478621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282975"/>
        <c:crosses val="autoZero"/>
        <c:auto val="1"/>
        <c:lblAlgn val="ctr"/>
        <c:lblOffset val="100"/>
        <c:noMultiLvlLbl val="0"/>
      </c:catAx>
      <c:valAx>
        <c:axId val="172828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21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 Profitability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'Output - Profitability Analysis'!$B$7</c:f>
              <c:strCache>
                <c:ptCount val="1"/>
                <c:pt idx="0">
                  <c:v>Car 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'Output - Profitability Analysis'!$C$6:$N$6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Profitability Analysis'!$C$7:$N$7</c:f>
              <c:numCache>
                <c:formatCode>General</c:formatCode>
                <c:ptCount val="12"/>
                <c:pt idx="0">
                  <c:v>108</c:v>
                </c:pt>
                <c:pt idx="1">
                  <c:v>100</c:v>
                </c:pt>
                <c:pt idx="2">
                  <c:v>150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130</c:v>
                </c:pt>
                <c:pt idx="7">
                  <c:v>80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E1-492A-A226-C07C8A5012E8}"/>
            </c:ext>
          </c:extLst>
        </c:ser>
        <c:ser>
          <c:idx val="1"/>
          <c:order val="1"/>
          <c:tx>
            <c:strRef>
              <c:f>'Output - Profitability Analysis'!$B$8</c:f>
              <c:strCache>
                <c:ptCount val="1"/>
                <c:pt idx="0">
                  <c:v>Car 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'Output - Profitability Analysis'!$C$6:$N$6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Profitability Analysis'!$C$8:$N$8</c:f>
              <c:numCache>
                <c:formatCode>General</c:formatCode>
                <c:ptCount val="12"/>
                <c:pt idx="0">
                  <c:v>620</c:v>
                </c:pt>
                <c:pt idx="1">
                  <c:v>900</c:v>
                </c:pt>
                <c:pt idx="2">
                  <c:v>750</c:v>
                </c:pt>
                <c:pt idx="3">
                  <c:v>840</c:v>
                </c:pt>
                <c:pt idx="4">
                  <c:v>1199.9999999999995</c:v>
                </c:pt>
                <c:pt idx="5">
                  <c:v>540</c:v>
                </c:pt>
                <c:pt idx="6">
                  <c:v>900</c:v>
                </c:pt>
                <c:pt idx="7">
                  <c:v>960</c:v>
                </c:pt>
                <c:pt idx="8">
                  <c:v>1199.9999999999995</c:v>
                </c:pt>
                <c:pt idx="9">
                  <c:v>720</c:v>
                </c:pt>
                <c:pt idx="10">
                  <c:v>900</c:v>
                </c:pt>
                <c:pt idx="11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E1-492A-A226-C07C8A501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091983"/>
        <c:axId val="1342630863"/>
      </c:lineChart>
      <c:catAx>
        <c:axId val="1440091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630863"/>
        <c:crosses val="autoZero"/>
        <c:auto val="1"/>
        <c:lblAlgn val="ctr"/>
        <c:lblOffset val="100"/>
        <c:noMultiLvlLbl val="0"/>
      </c:catAx>
      <c:valAx>
        <c:axId val="134263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Profitability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091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 Production Quantity 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'Output - Operation Analysis'!$B$7</c:f>
              <c:strCache>
                <c:ptCount val="1"/>
                <c:pt idx="0">
                  <c:v>Car 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'Output - Operation Analysis'!$C$6:$N$6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Analysis'!$C$7:$N$7</c:f>
              <c:numCache>
                <c:formatCode>General</c:formatCode>
                <c:ptCount val="12"/>
                <c:pt idx="0">
                  <c:v>9</c:v>
                </c:pt>
                <c:pt idx="1">
                  <c:v>10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60-4914-95D9-EC09494386F5}"/>
            </c:ext>
          </c:extLst>
        </c:ser>
        <c:ser>
          <c:idx val="1"/>
          <c:order val="1"/>
          <c:tx>
            <c:strRef>
              <c:f>'Output - Operation Analysis'!$B$8</c:f>
              <c:strCache>
                <c:ptCount val="1"/>
                <c:pt idx="0">
                  <c:v>Car 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'Output - Operation Analysis'!$C$6:$N$6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Analysis'!$C$8:$N$8</c:f>
              <c:numCache>
                <c:formatCode>General</c:formatCode>
                <c:ptCount val="12"/>
                <c:pt idx="0">
                  <c:v>62</c:v>
                </c:pt>
                <c:pt idx="1">
                  <c:v>60</c:v>
                </c:pt>
                <c:pt idx="2">
                  <c:v>50</c:v>
                </c:pt>
                <c:pt idx="3">
                  <c:v>60</c:v>
                </c:pt>
                <c:pt idx="4">
                  <c:v>79.999999999999972</c:v>
                </c:pt>
                <c:pt idx="5">
                  <c:v>60</c:v>
                </c:pt>
                <c:pt idx="6">
                  <c:v>60</c:v>
                </c:pt>
                <c:pt idx="7">
                  <c:v>64</c:v>
                </c:pt>
                <c:pt idx="8">
                  <c:v>79.999999999999972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60-4914-95D9-EC0949438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9828015"/>
        <c:axId val="774574175"/>
      </c:lineChart>
      <c:catAx>
        <c:axId val="95982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74175"/>
        <c:crosses val="autoZero"/>
        <c:auto val="1"/>
        <c:lblAlgn val="ctr"/>
        <c:lblOffset val="100"/>
        <c:noMultiLvlLbl val="0"/>
      </c:catAx>
      <c:valAx>
        <c:axId val="77457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2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'Output - Operation Analysis'!$B$27</c:f>
              <c:strCache>
                <c:ptCount val="1"/>
                <c:pt idx="0">
                  <c:v>Actual Assembly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'Output - Operation Analysis'!$C$26:$N$26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Analysis'!$C$27:$N$27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19.999999999999993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19.999999999999993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63-4EC9-B6FE-D49AC7675012}"/>
            </c:ext>
          </c:extLst>
        </c:ser>
        <c:ser>
          <c:idx val="1"/>
          <c:order val="1"/>
          <c:tx>
            <c:strRef>
              <c:f>'Output - Operation Analysis'!$B$28</c:f>
              <c:strCache>
                <c:ptCount val="1"/>
                <c:pt idx="0">
                  <c:v>Resource Availability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'Output - Operation Analysis'!$C$26:$N$26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Analysis'!$C$28:$N$28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63-4EC9-B6FE-D49AC7675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824767"/>
        <c:axId val="989036959"/>
      </c:barChart>
      <c:catAx>
        <c:axId val="959824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36959"/>
        <c:crosses val="autoZero"/>
        <c:auto val="1"/>
        <c:lblAlgn val="ctr"/>
        <c:lblOffset val="100"/>
        <c:noMultiLvlLbl val="0"/>
      </c:catAx>
      <c:valAx>
        <c:axId val="989036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2476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 Utilization - Painting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'Output - Operation Analysis'!$B$49</c:f>
              <c:strCache>
                <c:ptCount val="1"/>
                <c:pt idx="0">
                  <c:v>Actual Painting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'Output - Operation Analysis'!$C$48:$N$48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Analysis'!$C$49:$N$49</c:f>
              <c:numCache>
                <c:formatCode>General</c:formatCode>
                <c:ptCount val="12"/>
                <c:pt idx="0">
                  <c:v>7.55</c:v>
                </c:pt>
                <c:pt idx="1">
                  <c:v>7.5</c:v>
                </c:pt>
                <c:pt idx="2">
                  <c:v>8</c:v>
                </c:pt>
                <c:pt idx="3">
                  <c:v>7.5</c:v>
                </c:pt>
                <c:pt idx="4">
                  <c:v>9.4999999999999964</c:v>
                </c:pt>
                <c:pt idx="5">
                  <c:v>9.3000000000000007</c:v>
                </c:pt>
                <c:pt idx="6">
                  <c:v>7.5</c:v>
                </c:pt>
                <c:pt idx="7">
                  <c:v>7.6000000000000005</c:v>
                </c:pt>
                <c:pt idx="8">
                  <c:v>9.1999999999999975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F-48EA-9FBD-A64B791FF70B}"/>
            </c:ext>
          </c:extLst>
        </c:ser>
        <c:ser>
          <c:idx val="1"/>
          <c:order val="1"/>
          <c:tx>
            <c:strRef>
              <c:f>'Output - Operation Analysis'!$B$50</c:f>
              <c:strCache>
                <c:ptCount val="1"/>
                <c:pt idx="0">
                  <c:v>Resource Availability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'Output - Operation Analysis'!$C$48:$N$48</c:f>
              <c:strCache>
                <c:ptCount val="12"/>
                <c:pt idx="0">
                  <c:v>Jan</c:v>
                </c:pt>
                <c:pt idx="1">
                  <c:v>Feb 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'Output - Operation Analysis'!$C$50:$N$50</c:f>
              <c:numCache>
                <c:formatCode>General</c:formatCode>
                <c:ptCount val="12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14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AF-48EA-9FBD-A64B791FF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0253919"/>
        <c:axId val="989018239"/>
      </c:barChart>
      <c:catAx>
        <c:axId val="100025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018239"/>
        <c:crosses val="autoZero"/>
        <c:auto val="1"/>
        <c:lblAlgn val="ctr"/>
        <c:lblOffset val="100"/>
        <c:noMultiLvlLbl val="0"/>
      </c:catAx>
      <c:valAx>
        <c:axId val="98901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25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374650</xdr:colOff>
      <xdr:row>11</xdr:row>
      <xdr:rowOff>38100</xdr:rowOff>
    </xdr:from>
    <xdr:to>
      <xdr:col>8</xdr:col>
      <xdr:colOff>139700</xdr:colOff>
      <xdr:row>12</xdr:row>
      <xdr:rowOff>101600</xdr:rowOff>
    </xdr:to>
    <xdr:sp macro="[0]!Go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244850" y="2451100"/>
          <a:ext cx="1308100" cy="43180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Input</a:t>
          </a:r>
        </a:p>
      </xdr:txBody>
    </xdr:sp>
    <xdr:clientData/>
  </xdr:twoCellAnchor>
  <xdr:twoCellAnchor>
    <xdr:from>
      <xdr:col>8</xdr:col>
      <xdr:colOff>190500</xdr:colOff>
      <xdr:row>13</xdr:row>
      <xdr:rowOff>158750</xdr:rowOff>
    </xdr:from>
    <xdr:to>
      <xdr:col>10</xdr:col>
      <xdr:colOff>323850</xdr:colOff>
      <xdr:row>16</xdr:row>
      <xdr:rowOff>44450</xdr:rowOff>
    </xdr:to>
    <xdr:sp macro="[0]!clear_sol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603750" y="3124200"/>
          <a:ext cx="1333500" cy="4381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Output</a:t>
          </a:r>
        </a:p>
      </xdr:txBody>
    </xdr:sp>
    <xdr:clientData/>
  </xdr:twoCellAnchor>
  <xdr:twoCellAnchor>
    <xdr:from>
      <xdr:col>9</xdr:col>
      <xdr:colOff>127000</xdr:colOff>
      <xdr:row>11</xdr:row>
      <xdr:rowOff>12700</xdr:rowOff>
    </xdr:from>
    <xdr:to>
      <xdr:col>11</xdr:col>
      <xdr:colOff>285750</xdr:colOff>
      <xdr:row>12</xdr:row>
      <xdr:rowOff>82550</xdr:rowOff>
    </xdr:to>
    <xdr:sp macro="[0]!solve_car_produc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2425700"/>
          <a:ext cx="1333500" cy="4381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Solve</a:t>
          </a:r>
        </a:p>
      </xdr:txBody>
    </xdr:sp>
    <xdr:clientData/>
  </xdr:twoCellAnchor>
  <xdr:twoCellAnchor>
    <xdr:from>
      <xdr:col>11</xdr:col>
      <xdr:colOff>241300</xdr:colOff>
      <xdr:row>13</xdr:row>
      <xdr:rowOff>139700</xdr:rowOff>
    </xdr:from>
    <xdr:to>
      <xdr:col>13</xdr:col>
      <xdr:colOff>469900</xdr:colOff>
      <xdr:row>16</xdr:row>
      <xdr:rowOff>25400</xdr:rowOff>
    </xdr:to>
    <xdr:sp macro="[0]!vba_delete_all_work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318250" y="3105150"/>
          <a:ext cx="1333500" cy="4381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Delete</a:t>
          </a:r>
          <a:r>
            <a:rPr lang="en-US" sz="1100" baseline="0"/>
            <a:t> Worksheets</a:t>
          </a:r>
          <a:endParaRPr lang="en-US" sz="1100"/>
        </a:p>
      </xdr:txBody>
    </xdr:sp>
    <xdr:clientData/>
  </xdr:twoCellAnchor>
  <xdr:twoCellAnchor editAs="oneCell">
    <xdr:from>
      <xdr:col>0</xdr:col>
      <xdr:colOff>127001</xdr:colOff>
      <xdr:row>0</xdr:row>
      <xdr:rowOff>171451</xdr:rowOff>
    </xdr:from>
    <xdr:to>
      <xdr:col>2</xdr:col>
      <xdr:colOff>44450</xdr:colOff>
      <xdr:row>2</xdr:row>
      <xdr:rowOff>69784</xdr:rowOff>
    </xdr:to>
    <xdr:pic>
      <xdr:nvPicPr>
        <xdr:cNvPr id="7" name="Picture 6" descr="Red Sports Car Clip Art Free PNG Image｜Illusto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8" r="1803" b="16750"/>
        <a:stretch/>
      </xdr:blipFill>
      <xdr:spPr bwMode="auto">
        <a:xfrm>
          <a:off x="127001" y="171451"/>
          <a:ext cx="793749" cy="48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264273</xdr:colOff>
      <xdr:row>1</xdr:row>
      <xdr:rowOff>362</xdr:rowOff>
    </xdr:from>
    <xdr:to>
      <xdr:col>3</xdr:col>
      <xdr:colOff>260350</xdr:colOff>
      <xdr:row>2</xdr:row>
      <xdr:rowOff>51</xdr:rowOff>
    </xdr:to>
    <xdr:pic>
      <xdr:nvPicPr>
        <xdr:cNvPr id="9" name="Picture 8" descr="Free Blue Car Cliparts, Download Free Blue Car Cliparts png ...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573" y="184512"/>
          <a:ext cx="808877" cy="406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152400</xdr:colOff>
      <xdr:row>11</xdr:row>
      <xdr:rowOff>31750</xdr:rowOff>
    </xdr:from>
    <xdr:to>
      <xdr:col>14</xdr:col>
      <xdr:colOff>349250</xdr:colOff>
      <xdr:row>12</xdr:row>
      <xdr:rowOff>101600</xdr:rowOff>
    </xdr:to>
    <xdr:sp macro="[0]!GoProfitabilit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24650" y="2444750"/>
          <a:ext cx="1416050" cy="4381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Output</a:t>
          </a:r>
          <a:r>
            <a:rPr lang="en-US" sz="1100" baseline="0"/>
            <a:t> - Profitability</a:t>
          </a:r>
          <a:endParaRPr lang="en-US" sz="1100"/>
        </a:p>
      </xdr:txBody>
    </xdr:sp>
    <xdr:clientData/>
  </xdr:twoCellAnchor>
  <xdr:twoCellAnchor>
    <xdr:from>
      <xdr:col>15</xdr:col>
      <xdr:colOff>152400</xdr:colOff>
      <xdr:row>11</xdr:row>
      <xdr:rowOff>38100</xdr:rowOff>
    </xdr:from>
    <xdr:to>
      <xdr:col>17</xdr:col>
      <xdr:colOff>412750</xdr:colOff>
      <xdr:row>12</xdr:row>
      <xdr:rowOff>107950</xdr:rowOff>
    </xdr:to>
    <xdr:sp macro="[0]!GoOpera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553450" y="2451100"/>
          <a:ext cx="1333500" cy="4381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Output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Operation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186608</xdr:colOff>
      <xdr:row>4</xdr:row>
      <xdr:rowOff>86032</xdr:rowOff>
    </xdr:from>
    <xdr:to>
      <xdr:col>17</xdr:col>
      <xdr:colOff>237408</xdr:colOff>
      <xdr:row>5</xdr:row>
      <xdr:rowOff>295582</xdr:rowOff>
    </xdr:to>
    <xdr:sp macro="[0]!clear_sol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499941" y="1048774"/>
          <a:ext cx="1266177" cy="434873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 Home</a:t>
          </a:r>
          <a:endParaRPr lang="en-US" sz="1100"/>
        </a:p>
      </xdr:txBody>
    </xdr:sp>
    <xdr:clientData/>
  </xdr:twoCellAnchor>
  <xdr:twoCellAnchor>
    <xdr:from>
      <xdr:col>15</xdr:col>
      <xdr:colOff>191184</xdr:colOff>
      <xdr:row>7</xdr:row>
      <xdr:rowOff>75108</xdr:rowOff>
    </xdr:from>
    <xdr:to>
      <xdr:col>17</xdr:col>
      <xdr:colOff>252635</xdr:colOff>
      <xdr:row>9</xdr:row>
      <xdr:rowOff>170699</xdr:rowOff>
    </xdr:to>
    <xdr:sp macro="[0]!clear_prof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04517" y="1816237"/>
          <a:ext cx="1276828" cy="464301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Profits</a:t>
          </a:r>
        </a:p>
      </xdr:txBody>
    </xdr:sp>
    <xdr:clientData/>
  </xdr:twoCellAnchor>
  <xdr:twoCellAnchor editAs="oneCell">
    <xdr:from>
      <xdr:col>0</xdr:col>
      <xdr:colOff>127001</xdr:colOff>
      <xdr:row>0</xdr:row>
      <xdr:rowOff>171451</xdr:rowOff>
    </xdr:from>
    <xdr:to>
      <xdr:col>1</xdr:col>
      <xdr:colOff>311150</xdr:colOff>
      <xdr:row>2</xdr:row>
      <xdr:rowOff>69784</xdr:rowOff>
    </xdr:to>
    <xdr:pic>
      <xdr:nvPicPr>
        <xdr:cNvPr id="4" name="Picture 3" descr="Red Sports Car Clip Art Free PNG Image｜Illusto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8" r="1803" b="16750"/>
        <a:stretch/>
      </xdr:blipFill>
      <xdr:spPr bwMode="auto">
        <a:xfrm>
          <a:off x="127001" y="171451"/>
          <a:ext cx="793749" cy="48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562723</xdr:colOff>
      <xdr:row>1</xdr:row>
      <xdr:rowOff>362</xdr:rowOff>
    </xdr:from>
    <xdr:to>
      <xdr:col>2</xdr:col>
      <xdr:colOff>571500</xdr:colOff>
      <xdr:row>2</xdr:row>
      <xdr:rowOff>51</xdr:rowOff>
    </xdr:to>
    <xdr:pic>
      <xdr:nvPicPr>
        <xdr:cNvPr id="5" name="Picture 4" descr="Free Blue Car Cliparts, Download Free Blue Car Cliparts png ...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2323" y="184512"/>
          <a:ext cx="808877" cy="406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739774</xdr:colOff>
      <xdr:row>9</xdr:row>
      <xdr:rowOff>60325</xdr:rowOff>
    </xdr:from>
    <xdr:to>
      <xdr:col>14</xdr:col>
      <xdr:colOff>25399</xdr:colOff>
      <xdr:row>21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765174</xdr:colOff>
      <xdr:row>29</xdr:row>
      <xdr:rowOff>130175</xdr:rowOff>
    </xdr:from>
    <xdr:to>
      <xdr:col>14</xdr:col>
      <xdr:colOff>50799</xdr:colOff>
      <xdr:row>43</xdr:row>
      <xdr:rowOff>6350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679450</xdr:colOff>
      <xdr:row>73</xdr:row>
      <xdr:rowOff>28575</xdr:rowOff>
    </xdr:from>
    <xdr:to>
      <xdr:col>14</xdr:col>
      <xdr:colOff>31749</xdr:colOff>
      <xdr:row>85</xdr:row>
      <xdr:rowOff>139700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796924</xdr:colOff>
      <xdr:row>51</xdr:row>
      <xdr:rowOff>92075</xdr:rowOff>
    </xdr:from>
    <xdr:to>
      <xdr:col>14</xdr:col>
      <xdr:colOff>76199</xdr:colOff>
      <xdr:row>65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720724</xdr:colOff>
      <xdr:row>94</xdr:row>
      <xdr:rowOff>41275</xdr:rowOff>
    </xdr:from>
    <xdr:to>
      <xdr:col>14</xdr:col>
      <xdr:colOff>57149</xdr:colOff>
      <xdr:row>109</xdr:row>
      <xdr:rowOff>22225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771524</xdr:colOff>
      <xdr:row>117</xdr:row>
      <xdr:rowOff>136525</xdr:rowOff>
    </xdr:from>
    <xdr:to>
      <xdr:col>14</xdr:col>
      <xdr:colOff>19049</xdr:colOff>
      <xdr:row>132</xdr:row>
      <xdr:rowOff>117475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6</xdr:row>
          <xdr:rowOff>95250</xdr:rowOff>
        </xdr:from>
        <xdr:to>
          <xdr:col>20</xdr:col>
          <xdr:colOff>57150</xdr:colOff>
          <xdr:row>21</xdr:row>
          <xdr:rowOff>25400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 Inputs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221347</xdr:colOff>
      <xdr:row>10</xdr:row>
      <xdr:rowOff>184166</xdr:rowOff>
    </xdr:from>
    <xdr:to>
      <xdr:col>17</xdr:col>
      <xdr:colOff>238978</xdr:colOff>
      <xdr:row>13</xdr:row>
      <xdr:rowOff>109248</xdr:rowOff>
    </xdr:to>
    <xdr:sp macro="[0]!clear_assemblytime_month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534680" y="2478360"/>
          <a:ext cx="1233008" cy="478146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Assembly</a:t>
          </a:r>
          <a:r>
            <a:rPr lang="en-US" sz="1050" baseline="0"/>
            <a:t> Time - Month</a:t>
          </a:r>
          <a:endParaRPr lang="en-US" sz="1050"/>
        </a:p>
      </xdr:txBody>
    </xdr:sp>
    <xdr:clientData/>
  </xdr:twoCellAnchor>
  <xdr:twoCellAnchor>
    <xdr:from>
      <xdr:col>15</xdr:col>
      <xdr:colOff>236590</xdr:colOff>
      <xdr:row>14</xdr:row>
      <xdr:rowOff>106516</xdr:rowOff>
    </xdr:from>
    <xdr:to>
      <xdr:col>17</xdr:col>
      <xdr:colOff>259462</xdr:colOff>
      <xdr:row>17</xdr:row>
      <xdr:rowOff>75108</xdr:rowOff>
    </xdr:to>
    <xdr:sp macro="[0]!clear_paintandfinishtime_month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549923" y="3138129"/>
          <a:ext cx="1238249" cy="521656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Paint</a:t>
          </a:r>
          <a:r>
            <a:rPr lang="en-US" sz="1100" baseline="0"/>
            <a:t> &amp; Finish Time - Month </a:t>
          </a:r>
          <a:endParaRPr lang="en-US" sz="1100"/>
        </a:p>
      </xdr:txBody>
    </xdr:sp>
    <xdr:clientData/>
  </xdr:twoCellAnchor>
  <xdr:twoCellAnchor>
    <xdr:from>
      <xdr:col>15</xdr:col>
      <xdr:colOff>245807</xdr:colOff>
      <xdr:row>18</xdr:row>
      <xdr:rowOff>25689</xdr:rowOff>
    </xdr:from>
    <xdr:to>
      <xdr:col>17</xdr:col>
      <xdr:colOff>266290</xdr:colOff>
      <xdr:row>20</xdr:row>
      <xdr:rowOff>177527</xdr:rowOff>
    </xdr:to>
    <xdr:sp macro="[0]!clear_minimum_demand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559140" y="3794721"/>
          <a:ext cx="1235860" cy="520548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Minimum Demand </a:t>
          </a:r>
          <a:endParaRPr lang="en-US" sz="1100"/>
        </a:p>
      </xdr:txBody>
    </xdr:sp>
    <xdr:clientData/>
  </xdr:twoCellAnchor>
  <xdr:twoCellAnchor>
    <xdr:from>
      <xdr:col>17</xdr:col>
      <xdr:colOff>436989</xdr:colOff>
      <xdr:row>10</xdr:row>
      <xdr:rowOff>177526</xdr:rowOff>
    </xdr:from>
    <xdr:to>
      <xdr:col>19</xdr:col>
      <xdr:colOff>454621</xdr:colOff>
      <xdr:row>13</xdr:row>
      <xdr:rowOff>102608</xdr:rowOff>
    </xdr:to>
    <xdr:sp macro="[0]!clear_assemblytime_car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0965699" y="2471720"/>
          <a:ext cx="1233008" cy="478146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Assembly</a:t>
          </a:r>
          <a:r>
            <a:rPr lang="en-US" sz="1050" baseline="0"/>
            <a:t> Time - Car</a:t>
          </a:r>
          <a:endParaRPr lang="en-US" sz="1050"/>
        </a:p>
      </xdr:txBody>
    </xdr:sp>
    <xdr:clientData/>
  </xdr:twoCellAnchor>
  <xdr:twoCellAnchor>
    <xdr:from>
      <xdr:col>17</xdr:col>
      <xdr:colOff>464097</xdr:colOff>
      <xdr:row>14</xdr:row>
      <xdr:rowOff>108701</xdr:rowOff>
    </xdr:from>
    <xdr:to>
      <xdr:col>19</xdr:col>
      <xdr:colOff>486970</xdr:colOff>
      <xdr:row>17</xdr:row>
      <xdr:rowOff>77293</xdr:rowOff>
    </xdr:to>
    <xdr:sp macro="[0]!clear_paintandfinishtime_car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2807" y="3140314"/>
          <a:ext cx="1238249" cy="521656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Paint</a:t>
          </a:r>
          <a:r>
            <a:rPr lang="en-US" sz="1100" baseline="0"/>
            <a:t> &amp; Finish Time - Car 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527050</xdr:colOff>
      <xdr:row>4</xdr:row>
      <xdr:rowOff>0</xdr:rowOff>
    </xdr:from>
    <xdr:to>
      <xdr:col>17</xdr:col>
      <xdr:colOff>584200</xdr:colOff>
      <xdr:row>5</xdr:row>
      <xdr:rowOff>158750</xdr:rowOff>
    </xdr:to>
    <xdr:sp macro="[0]!G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861550" y="965200"/>
          <a:ext cx="1276350" cy="38735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 Home</a:t>
          </a:r>
          <a:endParaRPr lang="en-US" sz="1100"/>
        </a:p>
      </xdr:txBody>
    </xdr:sp>
    <xdr:clientData/>
  </xdr:twoCellAnchor>
  <xdr:twoCellAnchor>
    <xdr:from>
      <xdr:col>15</xdr:col>
      <xdr:colOff>527050</xdr:colOff>
      <xdr:row>5</xdr:row>
      <xdr:rowOff>361950</xdr:rowOff>
    </xdr:from>
    <xdr:to>
      <xdr:col>18</xdr:col>
      <xdr:colOff>6350</xdr:colOff>
      <xdr:row>8</xdr:row>
      <xdr:rowOff>57150</xdr:rowOff>
    </xdr:to>
    <xdr:sp macro="[0]!clear_sol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61550" y="1841500"/>
          <a:ext cx="1308100" cy="43180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Outputs</a:t>
          </a:r>
        </a:p>
      </xdr:txBody>
    </xdr:sp>
    <xdr:clientData/>
  </xdr:twoCellAnchor>
  <xdr:twoCellAnchor editAs="oneCell">
    <xdr:from>
      <xdr:col>0</xdr:col>
      <xdr:colOff>127001</xdr:colOff>
      <xdr:row>0</xdr:row>
      <xdr:rowOff>171451</xdr:rowOff>
    </xdr:from>
    <xdr:to>
      <xdr:col>1</xdr:col>
      <xdr:colOff>311150</xdr:colOff>
      <xdr:row>2</xdr:row>
      <xdr:rowOff>69784</xdr:rowOff>
    </xdr:to>
    <xdr:pic>
      <xdr:nvPicPr>
        <xdr:cNvPr id="5" name="Picture 4" descr="Red Sports Car Clip Art Free PNG Image｜Illustoon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8" r="1803" b="16750"/>
        <a:stretch/>
      </xdr:blipFill>
      <xdr:spPr bwMode="auto">
        <a:xfrm>
          <a:off x="127001" y="171451"/>
          <a:ext cx="793749" cy="48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550023</xdr:colOff>
      <xdr:row>1</xdr:row>
      <xdr:rowOff>362</xdr:rowOff>
    </xdr:from>
    <xdr:to>
      <xdr:col>2</xdr:col>
      <xdr:colOff>558800</xdr:colOff>
      <xdr:row>2</xdr:row>
      <xdr:rowOff>51</xdr:rowOff>
    </xdr:to>
    <xdr:pic>
      <xdr:nvPicPr>
        <xdr:cNvPr id="6" name="Picture 5" descr="Free Blue Car Cliparts, Download Free Blue Car Cliparts png ...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623" y="184512"/>
          <a:ext cx="808877" cy="406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758824</xdr:colOff>
      <xdr:row>9</xdr:row>
      <xdr:rowOff>92075</xdr:rowOff>
    </xdr:from>
    <xdr:to>
      <xdr:col>14</xdr:col>
      <xdr:colOff>44449</xdr:colOff>
      <xdr:row>22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557389</xdr:colOff>
      <xdr:row>3</xdr:row>
      <xdr:rowOff>190499</xdr:rowOff>
    </xdr:from>
    <xdr:to>
      <xdr:col>18</xdr:col>
      <xdr:colOff>14112</xdr:colOff>
      <xdr:row>5</xdr:row>
      <xdr:rowOff>204610</xdr:rowOff>
    </xdr:to>
    <xdr:sp macro="[0]!G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849556" y="966610"/>
          <a:ext cx="1277056" cy="430389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 Home</a:t>
          </a:r>
          <a:endParaRPr lang="en-US" sz="1100"/>
        </a:p>
      </xdr:txBody>
    </xdr:sp>
    <xdr:clientData/>
  </xdr:twoCellAnchor>
  <xdr:twoCellAnchor>
    <xdr:from>
      <xdr:col>15</xdr:col>
      <xdr:colOff>565150</xdr:colOff>
      <xdr:row>6</xdr:row>
      <xdr:rowOff>44450</xdr:rowOff>
    </xdr:from>
    <xdr:to>
      <xdr:col>18</xdr:col>
      <xdr:colOff>44450</xdr:colOff>
      <xdr:row>8</xdr:row>
      <xdr:rowOff>107950</xdr:rowOff>
    </xdr:to>
    <xdr:sp macro="[0]!clear_sol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899650" y="1892300"/>
          <a:ext cx="1308100" cy="431800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Outputs</a:t>
          </a:r>
        </a:p>
      </xdr:txBody>
    </xdr:sp>
    <xdr:clientData/>
  </xdr:twoCellAnchor>
  <xdr:twoCellAnchor editAs="oneCell">
    <xdr:from>
      <xdr:col>0</xdr:col>
      <xdr:colOff>127001</xdr:colOff>
      <xdr:row>0</xdr:row>
      <xdr:rowOff>171451</xdr:rowOff>
    </xdr:from>
    <xdr:to>
      <xdr:col>1</xdr:col>
      <xdr:colOff>311150</xdr:colOff>
      <xdr:row>2</xdr:row>
      <xdr:rowOff>69784</xdr:rowOff>
    </xdr:to>
    <xdr:pic>
      <xdr:nvPicPr>
        <xdr:cNvPr id="4" name="Picture 3" descr="Red Sports Car Clip Art Free PNG Image｜Illustoo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8" r="1803" b="16750"/>
        <a:stretch/>
      </xdr:blipFill>
      <xdr:spPr bwMode="auto">
        <a:xfrm>
          <a:off x="127001" y="171451"/>
          <a:ext cx="793749" cy="48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550023</xdr:colOff>
      <xdr:row>1</xdr:row>
      <xdr:rowOff>362</xdr:rowOff>
    </xdr:from>
    <xdr:to>
      <xdr:col>2</xdr:col>
      <xdr:colOff>558800</xdr:colOff>
      <xdr:row>2</xdr:row>
      <xdr:rowOff>51</xdr:rowOff>
    </xdr:to>
    <xdr:pic>
      <xdr:nvPicPr>
        <xdr:cNvPr id="5" name="Picture 4" descr="Free Blue Car Cliparts, Download Free Blue Car Cliparts png ...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623" y="184512"/>
          <a:ext cx="808877" cy="406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666750</xdr:colOff>
      <xdr:row>10</xdr:row>
      <xdr:rowOff>98425</xdr:rowOff>
    </xdr:from>
    <xdr:to>
      <xdr:col>14</xdr:col>
      <xdr:colOff>31749</xdr:colOff>
      <xdr:row>21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796924</xdr:colOff>
      <xdr:row>29</xdr:row>
      <xdr:rowOff>22225</xdr:rowOff>
    </xdr:from>
    <xdr:to>
      <xdr:col>14</xdr:col>
      <xdr:colOff>19049</xdr:colOff>
      <xdr:row>42</xdr:row>
      <xdr:rowOff>120650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47624</xdr:colOff>
      <xdr:row>51</xdr:row>
      <xdr:rowOff>28575</xdr:rowOff>
    </xdr:from>
    <xdr:to>
      <xdr:col>14</xdr:col>
      <xdr:colOff>76200</xdr:colOff>
      <xdr:row>64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C1B-15D1-42B2-B386-71DF00A696F8}">
  <sheetPr codeName="Sheet1"/>
  <dimension ref="A2:AB14"/>
  <sheetViews>
    <sheetView tabSelected="1" zoomScale="90" zoomScaleNormal="90" workbookViewId="0">
      <selection activeCell="Q4" sqref="Q4"/>
    </sheetView>
  </sheetViews>
  <sheetFormatPr defaultRowHeight="14.5" x14ac:dyDescent="0.35"/>
  <cols>
    <col min="1" max="1" width="5.90625" style="1" customWidth="1"/>
    <col min="2" max="2" width="6.6328125" style="1" customWidth="1"/>
    <col min="3" max="3" width="11.6328125" style="1" customWidth="1"/>
    <col min="4" max="4" width="9.453125" style="1" customWidth="1"/>
    <col min="5" max="5" width="7.453125" style="1" customWidth="1"/>
    <col min="6" max="6" width="7.6328125" style="1" customWidth="1"/>
    <col min="7" max="7" width="7.54296875" style="1" customWidth="1"/>
    <col min="8" max="8" width="6.90625" style="1" customWidth="1"/>
    <col min="9" max="9" width="7" style="1" customWidth="1"/>
    <col min="10" max="10" width="10.1796875" style="1" customWidth="1"/>
    <col min="11" max="11" width="6.6328125" style="1" customWidth="1"/>
    <col min="12" max="12" width="7.08984375" style="1" customWidth="1"/>
    <col min="13" max="15" width="8.7265625" style="1"/>
    <col min="16" max="16" width="2.81640625" style="1" customWidth="1"/>
    <col min="17" max="17" width="12.54296875" style="1" customWidth="1"/>
    <col min="18" max="16384" width="8.7265625" style="1"/>
  </cols>
  <sheetData>
    <row r="2" spans="1:28" ht="32" customHeight="1" x14ac:dyDescent="0.35">
      <c r="A2" s="9"/>
      <c r="B2" s="9"/>
      <c r="C2" s="9"/>
      <c r="D2" s="9"/>
      <c r="E2" s="9"/>
      <c r="F2" s="9"/>
      <c r="G2" s="9"/>
      <c r="H2" s="10" t="s">
        <v>4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</row>
    <row r="4" spans="1:28" ht="26" x14ac:dyDescent="0.6">
      <c r="A4" s="6"/>
      <c r="B4" s="19" t="s">
        <v>50</v>
      </c>
      <c r="D4" s="11">
        <v>122</v>
      </c>
      <c r="G4" s="19" t="s">
        <v>51</v>
      </c>
      <c r="J4" s="11">
        <v>756</v>
      </c>
      <c r="N4" s="20" t="s">
        <v>20</v>
      </c>
      <c r="Q4" s="11">
        <v>11698</v>
      </c>
    </row>
    <row r="7" spans="1:28" ht="16" customHeight="1" x14ac:dyDescent="0.35"/>
    <row r="10" spans="1:28" x14ac:dyDescent="0.35">
      <c r="B10" s="23" t="s">
        <v>0</v>
      </c>
      <c r="C10" s="24"/>
      <c r="D10" s="24"/>
    </row>
    <row r="12" spans="1:28" ht="29" x14ac:dyDescent="0.35">
      <c r="B12" s="21" t="s">
        <v>1</v>
      </c>
      <c r="C12" s="3"/>
      <c r="D12" s="4" t="s">
        <v>21</v>
      </c>
    </row>
    <row r="13" spans="1:28" x14ac:dyDescent="0.35">
      <c r="B13" s="17" t="s">
        <v>2</v>
      </c>
      <c r="C13" s="18"/>
      <c r="D13" s="5" t="s">
        <v>48</v>
      </c>
    </row>
    <row r="14" spans="1:28" x14ac:dyDescent="0.35">
      <c r="B14" s="2" t="s">
        <v>3</v>
      </c>
      <c r="C14" s="3"/>
      <c r="D14" s="8" t="s">
        <v>48</v>
      </c>
    </row>
  </sheetData>
  <phoneticPr fontId="4" type="noConversion"/>
  <dataValidations count="1">
    <dataValidation type="list" allowBlank="1" showInputMessage="1" sqref="D13:D14" xr:uid="{3B5BC98F-142B-477C-83D3-F829E5DB313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9E08-6C07-4521-9418-551A10DD4F3D}">
  <sheetPr codeName="Sheet2"/>
  <dimension ref="A2:AH116"/>
  <sheetViews>
    <sheetView zoomScale="93" zoomScaleNormal="93" workbookViewId="0">
      <selection activeCell="C7" sqref="C7"/>
    </sheetView>
  </sheetViews>
  <sheetFormatPr defaultRowHeight="14.5" x14ac:dyDescent="0.35"/>
  <cols>
    <col min="1" max="1" width="8.7265625" style="1"/>
    <col min="2" max="2" width="11.453125" style="1" customWidth="1"/>
    <col min="3" max="13" width="8.7265625" style="1"/>
    <col min="14" max="14" width="8.81640625" style="1" customWidth="1"/>
    <col min="15" max="28" width="8.7265625" style="1"/>
    <col min="29" max="29" width="7.54296875" style="1" customWidth="1"/>
    <col min="30" max="30" width="0" style="1" hidden="1" customWidth="1"/>
    <col min="31" max="31" width="11.6328125" style="1" customWidth="1"/>
    <col min="32" max="32" width="11.08984375" style="1" customWidth="1"/>
    <col min="33" max="33" width="5" style="1" customWidth="1"/>
    <col min="34" max="34" width="13.36328125" style="1" customWidth="1"/>
    <col min="35" max="35" width="7.1796875" style="1" customWidth="1"/>
    <col min="36" max="16384" width="8.7265625" style="1"/>
  </cols>
  <sheetData>
    <row r="2" spans="1:34" ht="32" customHeight="1" x14ac:dyDescent="0.6">
      <c r="A2" s="9"/>
      <c r="B2" s="9"/>
      <c r="C2" s="9"/>
      <c r="D2" s="9"/>
      <c r="E2" s="9"/>
      <c r="F2" s="9"/>
      <c r="G2" s="9"/>
      <c r="H2" s="10" t="s">
        <v>4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AE2" s="20" t="s">
        <v>20</v>
      </c>
      <c r="AH2" s="11">
        <f>SUMPRODUCT('Output - Operation Analysis'!$C$7:$N$8,Input!$C$7:$N$8)</f>
        <v>11698</v>
      </c>
    </row>
    <row r="4" spans="1:34" ht="14.5" customHeight="1" x14ac:dyDescent="0.35">
      <c r="B4" s="23" t="s">
        <v>49</v>
      </c>
      <c r="C4" s="23"/>
      <c r="D4" s="23"/>
    </row>
    <row r="5" spans="1:34" ht="18" customHeight="1" x14ac:dyDescent="0.35">
      <c r="N5" s="1" t="s">
        <v>44</v>
      </c>
    </row>
    <row r="6" spans="1:34" ht="29" x14ac:dyDescent="0.35">
      <c r="B6" s="16" t="s">
        <v>19</v>
      </c>
      <c r="C6" s="15" t="s">
        <v>5</v>
      </c>
      <c r="D6" s="15" t="s">
        <v>6</v>
      </c>
      <c r="E6" s="15" t="s">
        <v>7</v>
      </c>
      <c r="F6" s="15" t="s">
        <v>8</v>
      </c>
      <c r="G6" s="15" t="s">
        <v>9</v>
      </c>
      <c r="H6" s="15" t="s">
        <v>10</v>
      </c>
      <c r="I6" s="15" t="s">
        <v>11</v>
      </c>
      <c r="J6" s="15" t="s">
        <v>12</v>
      </c>
      <c r="K6" s="15" t="s">
        <v>13</v>
      </c>
      <c r="L6" s="15" t="s">
        <v>14</v>
      </c>
      <c r="M6" s="15" t="s">
        <v>15</v>
      </c>
      <c r="N6" s="15" t="s">
        <v>16</v>
      </c>
    </row>
    <row r="7" spans="1:34" x14ac:dyDescent="0.35">
      <c r="B7" s="14" t="s">
        <v>17</v>
      </c>
      <c r="C7" s="22">
        <v>12</v>
      </c>
      <c r="D7" s="22">
        <v>10</v>
      </c>
      <c r="E7" s="22">
        <v>10</v>
      </c>
      <c r="F7" s="22">
        <v>10</v>
      </c>
      <c r="G7" s="22">
        <v>10</v>
      </c>
      <c r="H7" s="22">
        <v>10</v>
      </c>
      <c r="I7" s="22">
        <v>13</v>
      </c>
      <c r="J7" s="22">
        <v>10</v>
      </c>
      <c r="K7" s="22">
        <v>10</v>
      </c>
      <c r="L7" s="22">
        <v>10</v>
      </c>
      <c r="M7" s="22">
        <v>10</v>
      </c>
      <c r="N7" s="22">
        <v>10</v>
      </c>
    </row>
    <row r="8" spans="1:34" x14ac:dyDescent="0.35">
      <c r="B8" s="14" t="s">
        <v>18</v>
      </c>
      <c r="C8" s="22">
        <v>10</v>
      </c>
      <c r="D8" s="22">
        <v>15</v>
      </c>
      <c r="E8" s="22">
        <v>15</v>
      </c>
      <c r="F8" s="22">
        <v>14</v>
      </c>
      <c r="G8" s="22">
        <v>15</v>
      </c>
      <c r="H8" s="22">
        <v>9</v>
      </c>
      <c r="I8" s="22">
        <v>15</v>
      </c>
      <c r="J8" s="22">
        <v>15</v>
      </c>
      <c r="K8" s="22">
        <v>15</v>
      </c>
      <c r="L8" s="22">
        <v>12</v>
      </c>
      <c r="M8" s="22">
        <v>15</v>
      </c>
      <c r="N8" s="22">
        <v>15</v>
      </c>
    </row>
    <row r="12" spans="1:34" x14ac:dyDescent="0.35">
      <c r="T12" s="7"/>
    </row>
    <row r="13" spans="1:34" x14ac:dyDescent="0.35">
      <c r="T13" s="7"/>
    </row>
    <row r="14" spans="1:34" x14ac:dyDescent="0.35">
      <c r="T14" s="7"/>
    </row>
    <row r="25" spans="2:14" x14ac:dyDescent="0.35">
      <c r="B25" s="23" t="s">
        <v>22</v>
      </c>
      <c r="C25" s="23"/>
    </row>
    <row r="27" spans="2:14" ht="29" x14ac:dyDescent="0.35">
      <c r="B27" s="16" t="s">
        <v>19</v>
      </c>
      <c r="C27" s="15" t="s">
        <v>5</v>
      </c>
      <c r="D27" s="15" t="s">
        <v>6</v>
      </c>
      <c r="E27" s="15" t="s">
        <v>7</v>
      </c>
      <c r="F27" s="15" t="s">
        <v>8</v>
      </c>
      <c r="G27" s="15" t="s">
        <v>9</v>
      </c>
      <c r="H27" s="15" t="s">
        <v>10</v>
      </c>
      <c r="I27" s="15" t="s">
        <v>11</v>
      </c>
      <c r="J27" s="15" t="s">
        <v>12</v>
      </c>
      <c r="K27" s="15" t="s">
        <v>13</v>
      </c>
      <c r="L27" s="15" t="s">
        <v>14</v>
      </c>
      <c r="M27" s="15" t="s">
        <v>15</v>
      </c>
      <c r="N27" s="15" t="s">
        <v>16</v>
      </c>
    </row>
    <row r="28" spans="2:14" ht="29" x14ac:dyDescent="0.35">
      <c r="B28" s="16" t="s">
        <v>23</v>
      </c>
      <c r="C28" s="22">
        <v>20</v>
      </c>
      <c r="D28" s="22">
        <v>20</v>
      </c>
      <c r="E28" s="22">
        <v>20</v>
      </c>
      <c r="F28" s="22">
        <v>20</v>
      </c>
      <c r="G28" s="22">
        <v>20</v>
      </c>
      <c r="H28" s="22">
        <v>20</v>
      </c>
      <c r="I28" s="22">
        <v>20</v>
      </c>
      <c r="J28" s="22">
        <v>20</v>
      </c>
      <c r="K28" s="22">
        <v>20</v>
      </c>
      <c r="L28" s="22">
        <v>20</v>
      </c>
      <c r="M28" s="22">
        <v>20</v>
      </c>
      <c r="N28" s="22">
        <v>20</v>
      </c>
    </row>
    <row r="46" spans="2:14" x14ac:dyDescent="0.35">
      <c r="B46" s="23" t="s">
        <v>33</v>
      </c>
      <c r="C46" s="23"/>
      <c r="D46" s="23"/>
      <c r="E46" s="23"/>
    </row>
    <row r="48" spans="2:14" ht="29" x14ac:dyDescent="0.35">
      <c r="B48" s="16" t="s">
        <v>36</v>
      </c>
      <c r="C48" s="15" t="s">
        <v>5</v>
      </c>
      <c r="D48" s="15" t="s">
        <v>6</v>
      </c>
      <c r="E48" s="15" t="s">
        <v>7</v>
      </c>
      <c r="F48" s="15" t="s">
        <v>8</v>
      </c>
      <c r="G48" s="15" t="s">
        <v>9</v>
      </c>
      <c r="H48" s="15" t="s">
        <v>10</v>
      </c>
      <c r="I48" s="15" t="s">
        <v>11</v>
      </c>
      <c r="J48" s="15" t="s">
        <v>12</v>
      </c>
      <c r="K48" s="15" t="s">
        <v>13</v>
      </c>
      <c r="L48" s="15" t="s">
        <v>14</v>
      </c>
      <c r="M48" s="15" t="s">
        <v>15</v>
      </c>
      <c r="N48" s="15" t="s">
        <v>16</v>
      </c>
    </row>
    <row r="49" spans="2:14" x14ac:dyDescent="0.35">
      <c r="B49" s="16" t="s">
        <v>34</v>
      </c>
      <c r="C49" s="22">
        <v>0.5</v>
      </c>
      <c r="D49" s="22">
        <v>0.5</v>
      </c>
      <c r="E49" s="22">
        <v>0.5</v>
      </c>
      <c r="F49" s="22">
        <v>0.5</v>
      </c>
      <c r="G49" s="22">
        <v>0.4</v>
      </c>
      <c r="H49" s="22">
        <v>0.5</v>
      </c>
      <c r="I49" s="22">
        <v>0.5</v>
      </c>
      <c r="J49" s="22">
        <v>0.5</v>
      </c>
      <c r="K49" s="22">
        <v>0.4</v>
      </c>
      <c r="L49" s="22">
        <v>0.5</v>
      </c>
      <c r="M49" s="22">
        <v>0.5</v>
      </c>
      <c r="N49" s="22">
        <v>0.5</v>
      </c>
    </row>
    <row r="50" spans="2:14" x14ac:dyDescent="0.35">
      <c r="B50" s="16" t="s">
        <v>35</v>
      </c>
      <c r="C50" s="22">
        <v>0.25</v>
      </c>
      <c r="D50" s="22">
        <v>0.25</v>
      </c>
      <c r="E50" s="22">
        <v>0.25</v>
      </c>
      <c r="F50" s="22">
        <v>0.25</v>
      </c>
      <c r="G50" s="22">
        <v>0.2</v>
      </c>
      <c r="H50" s="22">
        <v>0.25</v>
      </c>
      <c r="I50" s="22">
        <v>0.25</v>
      </c>
      <c r="J50" s="22">
        <v>0.25</v>
      </c>
      <c r="K50" s="22">
        <v>0.2</v>
      </c>
      <c r="L50" s="22">
        <v>0.25</v>
      </c>
      <c r="M50" s="22">
        <v>0.25</v>
      </c>
      <c r="N50" s="22">
        <v>0.25</v>
      </c>
    </row>
    <row r="69" spans="2:14" x14ac:dyDescent="0.35">
      <c r="B69" s="23" t="s">
        <v>24</v>
      </c>
      <c r="C69" s="23"/>
    </row>
    <row r="71" spans="2:14" ht="29" x14ac:dyDescent="0.35">
      <c r="B71" s="16" t="s">
        <v>19</v>
      </c>
      <c r="C71" s="15" t="s">
        <v>5</v>
      </c>
      <c r="D71" s="15" t="s">
        <v>6</v>
      </c>
      <c r="E71" s="15" t="s">
        <v>7</v>
      </c>
      <c r="F71" s="15" t="s">
        <v>8</v>
      </c>
      <c r="G71" s="15" t="s">
        <v>9</v>
      </c>
      <c r="H71" s="15" t="s">
        <v>10</v>
      </c>
      <c r="I71" s="15" t="s">
        <v>11</v>
      </c>
      <c r="J71" s="15" t="s">
        <v>12</v>
      </c>
      <c r="K71" s="15" t="s">
        <v>13</v>
      </c>
      <c r="L71" s="15" t="s">
        <v>14</v>
      </c>
      <c r="M71" s="15" t="s">
        <v>15</v>
      </c>
      <c r="N71" s="15" t="s">
        <v>16</v>
      </c>
    </row>
    <row r="72" spans="2:14" ht="29" x14ac:dyDescent="0.35">
      <c r="B72" s="16" t="s">
        <v>23</v>
      </c>
      <c r="C72" s="22">
        <v>10</v>
      </c>
      <c r="D72" s="22">
        <v>15</v>
      </c>
      <c r="E72" s="22">
        <v>15</v>
      </c>
      <c r="F72" s="22">
        <v>10</v>
      </c>
      <c r="G72" s="22">
        <v>10</v>
      </c>
      <c r="H72" s="22">
        <v>12</v>
      </c>
      <c r="I72" s="22">
        <v>10</v>
      </c>
      <c r="J72" s="22">
        <v>10</v>
      </c>
      <c r="K72" s="22">
        <v>10</v>
      </c>
      <c r="L72" s="22">
        <v>14</v>
      </c>
      <c r="M72" s="22">
        <v>10</v>
      </c>
      <c r="N72" s="22">
        <v>10</v>
      </c>
    </row>
    <row r="88" spans="2:14" x14ac:dyDescent="0.35">
      <c r="B88" s="23" t="s">
        <v>37</v>
      </c>
      <c r="C88" s="23"/>
      <c r="D88" s="23"/>
      <c r="E88" s="23"/>
    </row>
    <row r="90" spans="2:14" ht="43.5" x14ac:dyDescent="0.35">
      <c r="B90" s="16" t="s">
        <v>38</v>
      </c>
      <c r="C90" s="15" t="s">
        <v>5</v>
      </c>
      <c r="D90" s="15" t="s">
        <v>6</v>
      </c>
      <c r="E90" s="15" t="s">
        <v>7</v>
      </c>
      <c r="F90" s="15" t="s">
        <v>8</v>
      </c>
      <c r="G90" s="15" t="s">
        <v>9</v>
      </c>
      <c r="H90" s="15" t="s">
        <v>10</v>
      </c>
      <c r="I90" s="15" t="s">
        <v>11</v>
      </c>
      <c r="J90" s="15" t="s">
        <v>12</v>
      </c>
      <c r="K90" s="15" t="s">
        <v>13</v>
      </c>
      <c r="L90" s="15" t="s">
        <v>14</v>
      </c>
      <c r="M90" s="15" t="s">
        <v>15</v>
      </c>
      <c r="N90" s="15" t="s">
        <v>16</v>
      </c>
    </row>
    <row r="91" spans="2:14" x14ac:dyDescent="0.35">
      <c r="B91" s="16" t="s">
        <v>34</v>
      </c>
      <c r="C91" s="22">
        <v>0.15</v>
      </c>
      <c r="D91" s="22">
        <v>0.15</v>
      </c>
      <c r="E91" s="22">
        <v>0.2</v>
      </c>
      <c r="F91" s="22">
        <v>0.15</v>
      </c>
      <c r="G91" s="22">
        <v>0.15</v>
      </c>
      <c r="H91" s="22">
        <v>0.15</v>
      </c>
      <c r="I91" s="22">
        <v>0.15</v>
      </c>
      <c r="J91" s="22">
        <v>0.15</v>
      </c>
      <c r="K91" s="22">
        <v>0.12</v>
      </c>
      <c r="L91" s="22">
        <v>0.15</v>
      </c>
      <c r="M91" s="22">
        <v>0.15</v>
      </c>
      <c r="N91" s="22">
        <v>0.15</v>
      </c>
    </row>
    <row r="92" spans="2:14" x14ac:dyDescent="0.35">
      <c r="B92" s="16" t="s">
        <v>35</v>
      </c>
      <c r="C92" s="22">
        <v>0.1</v>
      </c>
      <c r="D92" s="22">
        <v>0.1</v>
      </c>
      <c r="E92" s="22">
        <v>0.1</v>
      </c>
      <c r="F92" s="22">
        <v>0.1</v>
      </c>
      <c r="G92" s="22">
        <v>0.1</v>
      </c>
      <c r="H92" s="22">
        <v>0.13</v>
      </c>
      <c r="I92" s="22">
        <v>0.1</v>
      </c>
      <c r="J92" s="22">
        <v>0.1</v>
      </c>
      <c r="K92" s="22">
        <v>0.1</v>
      </c>
      <c r="L92" s="22">
        <v>0.1</v>
      </c>
      <c r="M92" s="22">
        <v>0.1</v>
      </c>
      <c r="N92" s="22">
        <v>0.1</v>
      </c>
    </row>
    <row r="112" spans="2:5" x14ac:dyDescent="0.35">
      <c r="B112" s="23" t="s">
        <v>41</v>
      </c>
      <c r="C112" s="23"/>
      <c r="D112" s="23"/>
      <c r="E112" s="23"/>
    </row>
    <row r="114" spans="2:14" ht="29" x14ac:dyDescent="0.35">
      <c r="B114" s="16" t="s">
        <v>42</v>
      </c>
      <c r="C114" s="15" t="s">
        <v>5</v>
      </c>
      <c r="D114" s="15" t="s">
        <v>6</v>
      </c>
      <c r="E114" s="15" t="s">
        <v>7</v>
      </c>
      <c r="F114" s="15" t="s">
        <v>8</v>
      </c>
      <c r="G114" s="15" t="s">
        <v>9</v>
      </c>
      <c r="H114" s="15" t="s">
        <v>10</v>
      </c>
      <c r="I114" s="15" t="s">
        <v>11</v>
      </c>
      <c r="J114" s="15" t="s">
        <v>12</v>
      </c>
      <c r="K114" s="15" t="s">
        <v>13</v>
      </c>
      <c r="L114" s="15" t="s">
        <v>14</v>
      </c>
      <c r="M114" s="15" t="s">
        <v>15</v>
      </c>
      <c r="N114" s="15" t="s">
        <v>16</v>
      </c>
    </row>
    <row r="115" spans="2:14" x14ac:dyDescent="0.35">
      <c r="B115" s="16" t="s">
        <v>34</v>
      </c>
      <c r="C115" s="22">
        <v>9</v>
      </c>
      <c r="D115" s="22">
        <v>10</v>
      </c>
      <c r="E115" s="22">
        <v>15</v>
      </c>
      <c r="F115" s="22">
        <v>10</v>
      </c>
      <c r="G115" s="22">
        <v>10</v>
      </c>
      <c r="H115" s="22">
        <v>10</v>
      </c>
      <c r="I115" s="22">
        <v>10</v>
      </c>
      <c r="J115" s="22">
        <v>8</v>
      </c>
      <c r="K115" s="22">
        <v>10</v>
      </c>
      <c r="L115" s="22">
        <v>10</v>
      </c>
      <c r="M115" s="22">
        <v>10</v>
      </c>
      <c r="N115" s="22">
        <v>10</v>
      </c>
    </row>
    <row r="116" spans="2:14" x14ac:dyDescent="0.35">
      <c r="B116" s="16" t="s">
        <v>35</v>
      </c>
      <c r="C116" s="22">
        <v>10</v>
      </c>
      <c r="D116" s="22">
        <v>12</v>
      </c>
      <c r="E116" s="22">
        <v>10</v>
      </c>
      <c r="F116" s="22">
        <v>12</v>
      </c>
      <c r="G116" s="22">
        <v>11</v>
      </c>
      <c r="H116" s="22">
        <v>10</v>
      </c>
      <c r="I116" s="22">
        <v>10</v>
      </c>
      <c r="J116" s="22">
        <v>13</v>
      </c>
      <c r="K116" s="22">
        <v>10</v>
      </c>
      <c r="L116" s="22">
        <v>10</v>
      </c>
      <c r="M116" s="22">
        <v>14</v>
      </c>
      <c r="N116" s="22">
        <v>10</v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15</xdr:col>
                    <xdr:colOff>57150</xdr:colOff>
                    <xdr:row>6</xdr:row>
                    <xdr:rowOff>95250</xdr:rowOff>
                  </from>
                  <to>
                    <xdr:col>20</xdr:col>
                    <xdr:colOff>57150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FA39-6454-42F8-AA47-95273697E536}">
  <sheetPr codeName="Sheet5"/>
  <dimension ref="A5:P38"/>
  <sheetViews>
    <sheetView zoomScale="85" zoomScaleNormal="85" workbookViewId="0">
      <selection activeCell="F21" sqref="F21"/>
    </sheetView>
  </sheetViews>
  <sheetFormatPr defaultRowHeight="14.5" x14ac:dyDescent="0.35"/>
  <cols>
    <col min="1" max="16384" width="8.7265625" style="1"/>
  </cols>
  <sheetData>
    <row r="5" spans="1:16" x14ac:dyDescent="0.35">
      <c r="A5" s="1" t="s">
        <v>29</v>
      </c>
      <c r="C5" s="1">
        <f>Input!C7</f>
        <v>12</v>
      </c>
      <c r="D5" s="1">
        <f>Input!D7</f>
        <v>10</v>
      </c>
      <c r="E5" s="1">
        <f>Input!E7</f>
        <v>10</v>
      </c>
      <c r="F5" s="1">
        <f>Input!F7</f>
        <v>10</v>
      </c>
      <c r="G5" s="1">
        <f>Input!G7</f>
        <v>10</v>
      </c>
      <c r="H5" s="1">
        <f>Input!H7</f>
        <v>10</v>
      </c>
      <c r="I5" s="1">
        <f>Input!I7</f>
        <v>13</v>
      </c>
      <c r="J5" s="1">
        <f>Input!J7</f>
        <v>10</v>
      </c>
      <c r="K5" s="1">
        <f>Input!K7</f>
        <v>10</v>
      </c>
      <c r="L5" s="1">
        <f>Input!L7</f>
        <v>10</v>
      </c>
      <c r="M5" s="1">
        <f>Input!M7</f>
        <v>10</v>
      </c>
      <c r="N5" s="1">
        <f>Input!N7</f>
        <v>10</v>
      </c>
    </row>
    <row r="6" spans="1:16" x14ac:dyDescent="0.35">
      <c r="C6" s="1">
        <f>Input!C8</f>
        <v>10</v>
      </c>
      <c r="D6" s="1">
        <f>Input!D8</f>
        <v>15</v>
      </c>
      <c r="E6" s="1">
        <f>Input!E8</f>
        <v>15</v>
      </c>
      <c r="F6" s="1">
        <f>Input!F8</f>
        <v>14</v>
      </c>
      <c r="G6" s="1">
        <f>Input!G8</f>
        <v>15</v>
      </c>
      <c r="H6" s="1">
        <f>Input!H8</f>
        <v>9</v>
      </c>
      <c r="I6" s="1">
        <f>Input!I8</f>
        <v>15</v>
      </c>
      <c r="J6" s="1">
        <f>Input!J8</f>
        <v>15</v>
      </c>
      <c r="K6" s="1">
        <f>Input!K8</f>
        <v>15</v>
      </c>
      <c r="L6" s="1">
        <f>Input!L8</f>
        <v>12</v>
      </c>
      <c r="M6" s="1">
        <f>Input!M8</f>
        <v>15</v>
      </c>
      <c r="N6" s="1">
        <f>Input!N8</f>
        <v>15</v>
      </c>
    </row>
    <row r="9" spans="1:16" x14ac:dyDescent="0.35">
      <c r="A9" s="1" t="s">
        <v>30</v>
      </c>
      <c r="C9" s="26">
        <v>9</v>
      </c>
      <c r="D9" s="26">
        <v>10</v>
      </c>
      <c r="E9" s="26">
        <v>15</v>
      </c>
      <c r="F9" s="26">
        <v>10</v>
      </c>
      <c r="G9" s="26">
        <v>10</v>
      </c>
      <c r="H9" s="26">
        <v>10</v>
      </c>
      <c r="I9" s="26">
        <v>10</v>
      </c>
      <c r="J9" s="26">
        <v>8</v>
      </c>
      <c r="K9" s="26">
        <v>10</v>
      </c>
      <c r="L9" s="26">
        <v>10</v>
      </c>
      <c r="M9" s="26">
        <v>10</v>
      </c>
      <c r="N9" s="26">
        <v>10</v>
      </c>
      <c r="P9" s="1">
        <f>SUM(C9:N9)</f>
        <v>122</v>
      </c>
    </row>
    <row r="10" spans="1:16" x14ac:dyDescent="0.35">
      <c r="C10" s="26">
        <v>62</v>
      </c>
      <c r="D10" s="26">
        <v>60</v>
      </c>
      <c r="E10" s="26">
        <v>50</v>
      </c>
      <c r="F10" s="26">
        <v>60</v>
      </c>
      <c r="G10" s="26">
        <v>79.999999999999972</v>
      </c>
      <c r="H10" s="26">
        <v>60</v>
      </c>
      <c r="I10" s="26">
        <v>60</v>
      </c>
      <c r="J10" s="26">
        <v>64</v>
      </c>
      <c r="K10" s="26">
        <v>79.999999999999972</v>
      </c>
      <c r="L10" s="26">
        <v>60</v>
      </c>
      <c r="M10" s="26">
        <v>60</v>
      </c>
      <c r="N10" s="26">
        <v>60</v>
      </c>
      <c r="P10" s="1">
        <f>SUM(C10:N10)</f>
        <v>756</v>
      </c>
    </row>
    <row r="12" spans="1:16" x14ac:dyDescent="0.35">
      <c r="A12" s="1" t="s">
        <v>31</v>
      </c>
      <c r="C12" s="25">
        <f>SUMPRODUCT(C5:N6,C9:N10)</f>
        <v>11698</v>
      </c>
    </row>
    <row r="15" spans="1:16" x14ac:dyDescent="0.35">
      <c r="A15" s="1" t="s">
        <v>32</v>
      </c>
    </row>
    <row r="16" spans="1:16" x14ac:dyDescent="0.35">
      <c r="A16" s="1" t="s">
        <v>39</v>
      </c>
      <c r="C16" s="1">
        <f>Input!C49</f>
        <v>0.5</v>
      </c>
      <c r="D16" s="1">
        <f>Input!D49</f>
        <v>0.5</v>
      </c>
      <c r="E16" s="1">
        <f>Input!E49</f>
        <v>0.5</v>
      </c>
      <c r="F16" s="1">
        <f>Input!F49</f>
        <v>0.5</v>
      </c>
      <c r="G16" s="1">
        <f>Input!G49</f>
        <v>0.4</v>
      </c>
      <c r="H16" s="1">
        <f>Input!H49</f>
        <v>0.5</v>
      </c>
      <c r="I16" s="1">
        <f>Input!I49</f>
        <v>0.5</v>
      </c>
      <c r="J16" s="1">
        <f>Input!J49</f>
        <v>0.5</v>
      </c>
      <c r="K16" s="1">
        <f>Input!K49</f>
        <v>0.4</v>
      </c>
      <c r="L16" s="1">
        <f>Input!L49</f>
        <v>0.5</v>
      </c>
      <c r="M16" s="1">
        <f>Input!M49</f>
        <v>0.5</v>
      </c>
      <c r="N16" s="1">
        <f>Input!N49</f>
        <v>0.5</v>
      </c>
    </row>
    <row r="17" spans="1:14" x14ac:dyDescent="0.35">
      <c r="C17" s="1">
        <f>Input!C50</f>
        <v>0.25</v>
      </c>
      <c r="D17" s="1">
        <f>Input!D50</f>
        <v>0.25</v>
      </c>
      <c r="E17" s="1">
        <f>Input!E50</f>
        <v>0.25</v>
      </c>
      <c r="F17" s="1">
        <f>Input!F50</f>
        <v>0.25</v>
      </c>
      <c r="G17" s="1">
        <f>Input!G50</f>
        <v>0.2</v>
      </c>
      <c r="H17" s="1">
        <f>Input!H50</f>
        <v>0.25</v>
      </c>
      <c r="I17" s="1">
        <f>Input!I50</f>
        <v>0.25</v>
      </c>
      <c r="J17" s="1">
        <f>Input!J50</f>
        <v>0.25</v>
      </c>
      <c r="K17" s="1">
        <f>Input!K50</f>
        <v>0.2</v>
      </c>
      <c r="L17" s="1">
        <f>Input!L50</f>
        <v>0.25</v>
      </c>
      <c r="M17" s="1">
        <f>Input!M50</f>
        <v>0.25</v>
      </c>
      <c r="N17" s="1">
        <f>Input!N50</f>
        <v>0.25</v>
      </c>
    </row>
    <row r="19" spans="1:14" x14ac:dyDescent="0.35">
      <c r="C19" s="1">
        <f>SUMPRODUCT(C9:C10,C16:C17)</f>
        <v>20</v>
      </c>
      <c r="D19" s="1">
        <f t="shared" ref="D19:N19" si="0">SUMPRODUCT(D9:D10,D16:D17)</f>
        <v>20</v>
      </c>
      <c r="E19" s="1">
        <f t="shared" si="0"/>
        <v>20</v>
      </c>
      <c r="F19" s="1">
        <f t="shared" si="0"/>
        <v>20</v>
      </c>
      <c r="G19" s="1">
        <f t="shared" si="0"/>
        <v>19.999999999999993</v>
      </c>
      <c r="H19" s="1">
        <f t="shared" si="0"/>
        <v>20</v>
      </c>
      <c r="I19" s="1">
        <f t="shared" si="0"/>
        <v>20</v>
      </c>
      <c r="J19" s="1">
        <f t="shared" si="0"/>
        <v>20</v>
      </c>
      <c r="K19" s="1">
        <f t="shared" si="0"/>
        <v>19.999999999999993</v>
      </c>
      <c r="L19" s="1">
        <f t="shared" si="0"/>
        <v>20</v>
      </c>
      <c r="M19" s="1">
        <f t="shared" si="0"/>
        <v>20</v>
      </c>
      <c r="N19" s="1">
        <f t="shared" si="0"/>
        <v>20</v>
      </c>
    </row>
    <row r="21" spans="1:14" x14ac:dyDescent="0.35">
      <c r="C21" s="1">
        <f>Input!C28</f>
        <v>20</v>
      </c>
      <c r="D21" s="1">
        <f>Input!D28</f>
        <v>20</v>
      </c>
      <c r="E21" s="1">
        <f>Input!E28</f>
        <v>20</v>
      </c>
      <c r="F21" s="1">
        <f>Input!F28</f>
        <v>20</v>
      </c>
      <c r="G21" s="1">
        <f>Input!G28</f>
        <v>20</v>
      </c>
      <c r="H21" s="1">
        <f>Input!H28</f>
        <v>20</v>
      </c>
      <c r="I21" s="1">
        <f>Input!I28</f>
        <v>20</v>
      </c>
      <c r="J21" s="1">
        <f>Input!J28</f>
        <v>20</v>
      </c>
      <c r="K21" s="1">
        <f>Input!K28</f>
        <v>20</v>
      </c>
      <c r="L21" s="1">
        <f>Input!L28</f>
        <v>20</v>
      </c>
      <c r="M21" s="1">
        <f>Input!M28</f>
        <v>20</v>
      </c>
      <c r="N21" s="1">
        <f>Input!N28</f>
        <v>20</v>
      </c>
    </row>
    <row r="25" spans="1:14" x14ac:dyDescent="0.35">
      <c r="A25" s="1" t="s">
        <v>40</v>
      </c>
      <c r="C25" s="1">
        <f>Input!C91</f>
        <v>0.15</v>
      </c>
      <c r="D25" s="1">
        <f>Input!D91</f>
        <v>0.15</v>
      </c>
      <c r="E25" s="1">
        <f>Input!E91</f>
        <v>0.2</v>
      </c>
      <c r="F25" s="1">
        <f>Input!F91</f>
        <v>0.15</v>
      </c>
      <c r="G25" s="1">
        <f>Input!G91</f>
        <v>0.15</v>
      </c>
      <c r="H25" s="1">
        <f>Input!H91</f>
        <v>0.15</v>
      </c>
      <c r="I25" s="1">
        <f>Input!I91</f>
        <v>0.15</v>
      </c>
      <c r="J25" s="1">
        <f>Input!J91</f>
        <v>0.15</v>
      </c>
      <c r="K25" s="1">
        <f>Input!K91</f>
        <v>0.12</v>
      </c>
      <c r="L25" s="1">
        <f>Input!L91</f>
        <v>0.15</v>
      </c>
      <c r="M25" s="1">
        <f>Input!M91</f>
        <v>0.15</v>
      </c>
      <c r="N25" s="1">
        <f>Input!N91</f>
        <v>0.15</v>
      </c>
    </row>
    <row r="26" spans="1:14" x14ac:dyDescent="0.35">
      <c r="C26" s="1">
        <f>Input!C92</f>
        <v>0.1</v>
      </c>
      <c r="D26" s="1">
        <f>Input!D92</f>
        <v>0.1</v>
      </c>
      <c r="E26" s="1">
        <f>Input!E92</f>
        <v>0.1</v>
      </c>
      <c r="F26" s="1">
        <f>Input!F92</f>
        <v>0.1</v>
      </c>
      <c r="G26" s="1">
        <f>Input!G92</f>
        <v>0.1</v>
      </c>
      <c r="H26" s="1">
        <f>Input!H92</f>
        <v>0.13</v>
      </c>
      <c r="I26" s="1">
        <f>Input!I92</f>
        <v>0.1</v>
      </c>
      <c r="J26" s="1">
        <f>Input!J92</f>
        <v>0.1</v>
      </c>
      <c r="K26" s="1">
        <f>Input!K92</f>
        <v>0.1</v>
      </c>
      <c r="L26" s="1">
        <f>Input!L92</f>
        <v>0.1</v>
      </c>
      <c r="M26" s="1">
        <f>Input!M92</f>
        <v>0.1</v>
      </c>
      <c r="N26" s="1">
        <f>Input!N92</f>
        <v>0.1</v>
      </c>
    </row>
    <row r="28" spans="1:14" x14ac:dyDescent="0.35">
      <c r="C28" s="1">
        <f>SUMPRODUCT(C9:C10,C25:C26)</f>
        <v>7.55</v>
      </c>
      <c r="D28" s="1">
        <f t="shared" ref="D28:M28" si="1">SUMPRODUCT(D9:D10,D25:D26)</f>
        <v>7.5</v>
      </c>
      <c r="E28" s="1">
        <f t="shared" si="1"/>
        <v>8</v>
      </c>
      <c r="F28" s="1">
        <f t="shared" si="1"/>
        <v>7.5</v>
      </c>
      <c r="G28" s="1">
        <f t="shared" si="1"/>
        <v>9.4999999999999964</v>
      </c>
      <c r="H28" s="1">
        <f t="shared" si="1"/>
        <v>9.3000000000000007</v>
      </c>
      <c r="I28" s="1">
        <f t="shared" si="1"/>
        <v>7.5</v>
      </c>
      <c r="J28" s="1">
        <f t="shared" si="1"/>
        <v>7.6000000000000005</v>
      </c>
      <c r="K28" s="1">
        <f t="shared" si="1"/>
        <v>9.1999999999999975</v>
      </c>
      <c r="L28" s="1">
        <f t="shared" si="1"/>
        <v>7.5</v>
      </c>
      <c r="M28" s="1">
        <f t="shared" si="1"/>
        <v>7.5</v>
      </c>
      <c r="N28" s="1">
        <f>SUMPRODUCT(N9:N10,N25:N26)</f>
        <v>7.5</v>
      </c>
    </row>
    <row r="30" spans="1:14" x14ac:dyDescent="0.35">
      <c r="C30" s="1">
        <f>Input!C72</f>
        <v>10</v>
      </c>
      <c r="D30" s="1">
        <f>Input!D72</f>
        <v>15</v>
      </c>
      <c r="E30" s="1">
        <f>Input!E72</f>
        <v>15</v>
      </c>
      <c r="F30" s="1">
        <f>Input!F72</f>
        <v>10</v>
      </c>
      <c r="G30" s="1">
        <f>Input!G72</f>
        <v>10</v>
      </c>
      <c r="H30" s="1">
        <f>Input!H72</f>
        <v>12</v>
      </c>
      <c r="I30" s="1">
        <f>Input!I72</f>
        <v>10</v>
      </c>
      <c r="J30" s="1">
        <f>Input!J72</f>
        <v>10</v>
      </c>
      <c r="K30" s="1">
        <f>Input!K72</f>
        <v>10</v>
      </c>
      <c r="L30" s="1">
        <f>Input!L72</f>
        <v>14</v>
      </c>
      <c r="M30" s="1">
        <f>Input!M72</f>
        <v>10</v>
      </c>
      <c r="N30" s="1">
        <f>Input!N72</f>
        <v>10</v>
      </c>
    </row>
    <row r="33" spans="1:14" x14ac:dyDescent="0.35">
      <c r="A33" s="1" t="s">
        <v>43</v>
      </c>
      <c r="C33" s="1">
        <f>Input!C115</f>
        <v>9</v>
      </c>
      <c r="D33" s="1">
        <f>Input!D115</f>
        <v>10</v>
      </c>
      <c r="E33" s="1">
        <f>Input!E115</f>
        <v>15</v>
      </c>
      <c r="F33" s="1">
        <f>Input!F115</f>
        <v>10</v>
      </c>
      <c r="G33" s="1">
        <f>Input!G115</f>
        <v>10</v>
      </c>
      <c r="H33" s="1">
        <f>Input!H115</f>
        <v>10</v>
      </c>
      <c r="I33" s="1">
        <f>Input!I115</f>
        <v>10</v>
      </c>
      <c r="J33" s="1">
        <f>Input!J115</f>
        <v>8</v>
      </c>
      <c r="K33" s="1">
        <f>Input!K115</f>
        <v>10</v>
      </c>
      <c r="L33" s="1">
        <f>Input!L115</f>
        <v>10</v>
      </c>
      <c r="M33" s="1">
        <f>Input!M115</f>
        <v>10</v>
      </c>
      <c r="N33" s="1">
        <f>Input!N115</f>
        <v>10</v>
      </c>
    </row>
    <row r="34" spans="1:14" x14ac:dyDescent="0.35">
      <c r="C34" s="1">
        <f>Input!C116</f>
        <v>10</v>
      </c>
      <c r="D34" s="1">
        <f>Input!D116</f>
        <v>12</v>
      </c>
      <c r="E34" s="1">
        <f>Input!E116</f>
        <v>10</v>
      </c>
      <c r="F34" s="1">
        <f>Input!F116</f>
        <v>12</v>
      </c>
      <c r="G34" s="1">
        <f>Input!G116</f>
        <v>11</v>
      </c>
      <c r="H34" s="1">
        <f>Input!H116</f>
        <v>10</v>
      </c>
      <c r="I34" s="1">
        <f>Input!I116</f>
        <v>10</v>
      </c>
      <c r="J34" s="1">
        <f>Input!J116</f>
        <v>13</v>
      </c>
      <c r="K34" s="1">
        <f>Input!K116</f>
        <v>10</v>
      </c>
      <c r="L34" s="1">
        <f>Input!L116</f>
        <v>10</v>
      </c>
      <c r="M34" s="1">
        <f>Input!M116</f>
        <v>14</v>
      </c>
      <c r="N34" s="1">
        <f>Input!N116</f>
        <v>10</v>
      </c>
    </row>
    <row r="37" spans="1:14" x14ac:dyDescent="0.35">
      <c r="A37" s="1" t="s">
        <v>47</v>
      </c>
      <c r="C37" s="1">
        <f>C5*C9</f>
        <v>108</v>
      </c>
      <c r="D37" s="1">
        <f t="shared" ref="D37:N37" si="2">D5*D9</f>
        <v>100</v>
      </c>
      <c r="E37" s="1">
        <f t="shared" si="2"/>
        <v>150</v>
      </c>
      <c r="F37" s="1">
        <f t="shared" si="2"/>
        <v>100</v>
      </c>
      <c r="G37" s="1">
        <f t="shared" si="2"/>
        <v>100</v>
      </c>
      <c r="H37" s="1">
        <f t="shared" si="2"/>
        <v>100</v>
      </c>
      <c r="I37" s="1">
        <f t="shared" si="2"/>
        <v>130</v>
      </c>
      <c r="J37" s="1">
        <f t="shared" si="2"/>
        <v>80</v>
      </c>
      <c r="K37" s="1">
        <f t="shared" si="2"/>
        <v>100</v>
      </c>
      <c r="L37" s="1">
        <f t="shared" si="2"/>
        <v>100</v>
      </c>
      <c r="M37" s="1">
        <f t="shared" si="2"/>
        <v>100</v>
      </c>
      <c r="N37" s="1">
        <f t="shared" si="2"/>
        <v>100</v>
      </c>
    </row>
    <row r="38" spans="1:14" x14ac:dyDescent="0.35">
      <c r="C38" s="1">
        <f>C6*C10</f>
        <v>620</v>
      </c>
      <c r="D38" s="1">
        <f t="shared" ref="D38:N38" si="3">D6*D10</f>
        <v>900</v>
      </c>
      <c r="E38" s="1">
        <f t="shared" si="3"/>
        <v>750</v>
      </c>
      <c r="F38" s="1">
        <f t="shared" si="3"/>
        <v>840</v>
      </c>
      <c r="G38" s="1">
        <f t="shared" si="3"/>
        <v>1199.9999999999995</v>
      </c>
      <c r="H38" s="1">
        <f t="shared" si="3"/>
        <v>540</v>
      </c>
      <c r="I38" s="1">
        <f t="shared" si="3"/>
        <v>900</v>
      </c>
      <c r="J38" s="1">
        <f t="shared" si="3"/>
        <v>960</v>
      </c>
      <c r="K38" s="1">
        <f t="shared" si="3"/>
        <v>1199.9999999999995</v>
      </c>
      <c r="L38" s="1">
        <f t="shared" si="3"/>
        <v>720</v>
      </c>
      <c r="M38" s="1">
        <f t="shared" si="3"/>
        <v>900</v>
      </c>
      <c r="N38" s="1">
        <f t="shared" si="3"/>
        <v>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6C36-4EB2-46CD-ADCE-BE3BFC388B4E}">
  <sheetPr codeName="Sheet3"/>
  <dimension ref="A2:V14"/>
  <sheetViews>
    <sheetView zoomScaleNormal="100" workbookViewId="0">
      <selection activeCell="R17" sqref="R17"/>
    </sheetView>
  </sheetViews>
  <sheetFormatPr defaultRowHeight="14.5" x14ac:dyDescent="0.35"/>
  <cols>
    <col min="1" max="1" width="8.7265625" style="1"/>
    <col min="2" max="2" width="11.453125" style="1" customWidth="1"/>
    <col min="3" max="16384" width="8.7265625" style="1"/>
  </cols>
  <sheetData>
    <row r="2" spans="1:22" ht="32" customHeight="1" x14ac:dyDescent="0.35">
      <c r="A2" s="9"/>
      <c r="B2" s="9"/>
      <c r="C2" s="9"/>
      <c r="D2" s="9"/>
      <c r="E2" s="9"/>
      <c r="F2" s="9"/>
      <c r="G2" s="9"/>
      <c r="H2" s="10" t="s">
        <v>4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4" spans="1:22" ht="15" customHeight="1" x14ac:dyDescent="0.35">
      <c r="B4" s="23" t="s">
        <v>52</v>
      </c>
      <c r="C4" s="23"/>
      <c r="D4" s="23"/>
    </row>
    <row r="5" spans="1:22" ht="18" customHeight="1" x14ac:dyDescent="0.35"/>
    <row r="6" spans="1:22" ht="29" x14ac:dyDescent="0.35">
      <c r="B6" s="16" t="s">
        <v>19</v>
      </c>
      <c r="C6" s="15" t="s">
        <v>5</v>
      </c>
      <c r="D6" s="15" t="s">
        <v>6</v>
      </c>
      <c r="E6" s="15" t="s">
        <v>7</v>
      </c>
      <c r="F6" s="15" t="s">
        <v>8</v>
      </c>
      <c r="G6" s="15" t="s">
        <v>9</v>
      </c>
      <c r="H6" s="15" t="s">
        <v>10</v>
      </c>
      <c r="I6" s="15" t="s">
        <v>11</v>
      </c>
      <c r="J6" s="15" t="s">
        <v>12</v>
      </c>
      <c r="K6" s="15" t="s">
        <v>13</v>
      </c>
      <c r="L6" s="15" t="s">
        <v>14</v>
      </c>
      <c r="M6" s="15" t="s">
        <v>15</v>
      </c>
      <c r="N6" s="15" t="s">
        <v>16</v>
      </c>
    </row>
    <row r="7" spans="1:22" x14ac:dyDescent="0.35">
      <c r="B7" s="14" t="s">
        <v>17</v>
      </c>
      <c r="C7" s="28">
        <v>108</v>
      </c>
      <c r="D7" s="28">
        <v>100</v>
      </c>
      <c r="E7" s="28">
        <v>150</v>
      </c>
      <c r="F7" s="28">
        <v>100</v>
      </c>
      <c r="G7" s="28">
        <v>100</v>
      </c>
      <c r="H7" s="28">
        <v>100</v>
      </c>
      <c r="I7" s="28">
        <v>130</v>
      </c>
      <c r="J7" s="28">
        <v>80</v>
      </c>
      <c r="K7" s="28">
        <v>100</v>
      </c>
      <c r="L7" s="28">
        <v>100</v>
      </c>
      <c r="M7" s="28">
        <v>100</v>
      </c>
      <c r="N7" s="28">
        <v>100</v>
      </c>
    </row>
    <row r="8" spans="1:22" x14ac:dyDescent="0.35">
      <c r="B8" s="14" t="s">
        <v>18</v>
      </c>
      <c r="C8" s="28">
        <v>620</v>
      </c>
      <c r="D8" s="28">
        <v>900</v>
      </c>
      <c r="E8" s="28">
        <v>750</v>
      </c>
      <c r="F8" s="28">
        <v>840</v>
      </c>
      <c r="G8" s="28">
        <v>1199.9999999999995</v>
      </c>
      <c r="H8" s="28">
        <v>540</v>
      </c>
      <c r="I8" s="28">
        <v>900</v>
      </c>
      <c r="J8" s="28">
        <v>960</v>
      </c>
      <c r="K8" s="28">
        <v>1199.9999999999995</v>
      </c>
      <c r="L8" s="28">
        <v>720</v>
      </c>
      <c r="M8" s="28">
        <v>900</v>
      </c>
      <c r="N8" s="28">
        <v>900</v>
      </c>
    </row>
    <row r="12" spans="1:22" x14ac:dyDescent="0.35">
      <c r="T12" s="7">
        <v>20</v>
      </c>
    </row>
    <row r="13" spans="1:22" x14ac:dyDescent="0.35">
      <c r="T13" s="7">
        <v>10</v>
      </c>
    </row>
    <row r="14" spans="1:22" x14ac:dyDescent="0.35">
      <c r="T14" s="7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63E3-A29D-42BB-AF51-C28BACB61DA6}">
  <sheetPr codeName="Sheet4"/>
  <dimension ref="A2:V82"/>
  <sheetViews>
    <sheetView zoomScale="90" zoomScaleNormal="90" workbookViewId="0">
      <selection activeCell="C7" sqref="C7"/>
    </sheetView>
  </sheetViews>
  <sheetFormatPr defaultRowHeight="14.5" x14ac:dyDescent="0.35"/>
  <cols>
    <col min="1" max="1" width="8.7265625" style="1"/>
    <col min="2" max="2" width="11.453125" style="1" customWidth="1"/>
    <col min="3" max="16384" width="8.7265625" style="1"/>
  </cols>
  <sheetData>
    <row r="2" spans="1:22" ht="32" customHeight="1" x14ac:dyDescent="0.35">
      <c r="A2" s="9"/>
      <c r="B2" s="9"/>
      <c r="C2" s="9"/>
      <c r="D2" s="9"/>
      <c r="E2" s="9"/>
      <c r="F2" s="9"/>
      <c r="G2" s="9"/>
      <c r="H2" s="10" t="s">
        <v>4</v>
      </c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4" spans="1:22" ht="15" customHeight="1" x14ac:dyDescent="0.35">
      <c r="B4" s="23" t="s">
        <v>25</v>
      </c>
      <c r="C4" s="23"/>
      <c r="D4" s="23"/>
    </row>
    <row r="5" spans="1:22" ht="18" customHeight="1" x14ac:dyDescent="0.35"/>
    <row r="6" spans="1:22" ht="29" x14ac:dyDescent="0.35">
      <c r="B6" s="16" t="s">
        <v>19</v>
      </c>
      <c r="C6" s="15" t="s">
        <v>5</v>
      </c>
      <c r="D6" s="15" t="s">
        <v>6</v>
      </c>
      <c r="E6" s="15" t="s">
        <v>7</v>
      </c>
      <c r="F6" s="15" t="s">
        <v>8</v>
      </c>
      <c r="G6" s="15" t="s">
        <v>9</v>
      </c>
      <c r="H6" s="15" t="s">
        <v>10</v>
      </c>
      <c r="I6" s="15" t="s">
        <v>11</v>
      </c>
      <c r="J6" s="15" t="s">
        <v>12</v>
      </c>
      <c r="K6" s="15" t="s">
        <v>13</v>
      </c>
      <c r="L6" s="15" t="s">
        <v>14</v>
      </c>
      <c r="M6" s="15" t="s">
        <v>15</v>
      </c>
      <c r="N6" s="15" t="s">
        <v>16</v>
      </c>
    </row>
    <row r="7" spans="1:22" x14ac:dyDescent="0.35">
      <c r="B7" s="14" t="s">
        <v>17</v>
      </c>
      <c r="C7" s="27">
        <v>9</v>
      </c>
      <c r="D7" s="27">
        <v>10</v>
      </c>
      <c r="E7" s="27">
        <v>15</v>
      </c>
      <c r="F7" s="27">
        <v>10</v>
      </c>
      <c r="G7" s="27">
        <v>10</v>
      </c>
      <c r="H7" s="27">
        <v>10</v>
      </c>
      <c r="I7" s="27">
        <v>10</v>
      </c>
      <c r="J7" s="27">
        <v>8</v>
      </c>
      <c r="K7" s="27">
        <v>10</v>
      </c>
      <c r="L7" s="27">
        <v>10</v>
      </c>
      <c r="M7" s="27">
        <v>10</v>
      </c>
      <c r="N7" s="27">
        <v>10</v>
      </c>
    </row>
    <row r="8" spans="1:22" x14ac:dyDescent="0.35">
      <c r="B8" s="14" t="s">
        <v>18</v>
      </c>
      <c r="C8" s="27">
        <v>62</v>
      </c>
      <c r="D8" s="27">
        <v>60</v>
      </c>
      <c r="E8" s="27">
        <v>50</v>
      </c>
      <c r="F8" s="27">
        <v>60</v>
      </c>
      <c r="G8" s="27">
        <v>79.999999999999972</v>
      </c>
      <c r="H8" s="27">
        <v>60</v>
      </c>
      <c r="I8" s="27">
        <v>60</v>
      </c>
      <c r="J8" s="27">
        <v>64</v>
      </c>
      <c r="K8" s="27">
        <v>79.999999999999972</v>
      </c>
      <c r="L8" s="27">
        <v>60</v>
      </c>
      <c r="M8" s="27">
        <v>60</v>
      </c>
      <c r="N8" s="27">
        <v>60</v>
      </c>
    </row>
    <row r="12" spans="1:22" x14ac:dyDescent="0.35">
      <c r="T12" s="7"/>
    </row>
    <row r="13" spans="1:22" x14ac:dyDescent="0.35">
      <c r="T13" s="7"/>
    </row>
    <row r="14" spans="1:22" x14ac:dyDescent="0.35">
      <c r="T14" s="7"/>
    </row>
    <row r="24" spans="2:14" x14ac:dyDescent="0.35">
      <c r="B24" s="23" t="s">
        <v>26</v>
      </c>
      <c r="C24" s="23"/>
      <c r="D24" s="23"/>
      <c r="E24" s="23"/>
    </row>
    <row r="26" spans="2:14" ht="29" x14ac:dyDescent="0.35">
      <c r="B26" s="16" t="s">
        <v>19</v>
      </c>
      <c r="C26" s="15" t="s">
        <v>5</v>
      </c>
      <c r="D26" s="15" t="s">
        <v>6</v>
      </c>
      <c r="E26" s="15" t="s">
        <v>7</v>
      </c>
      <c r="F26" s="15" t="s">
        <v>8</v>
      </c>
      <c r="G26" s="15" t="s">
        <v>9</v>
      </c>
      <c r="H26" s="15" t="s">
        <v>10</v>
      </c>
      <c r="I26" s="15" t="s">
        <v>11</v>
      </c>
      <c r="J26" s="15" t="s">
        <v>12</v>
      </c>
      <c r="K26" s="15" t="s">
        <v>13</v>
      </c>
      <c r="L26" s="15" t="s">
        <v>14</v>
      </c>
      <c r="M26" s="15" t="s">
        <v>15</v>
      </c>
      <c r="N26" s="15" t="s">
        <v>16</v>
      </c>
    </row>
    <row r="27" spans="2:14" ht="42.5" customHeight="1" x14ac:dyDescent="0.35">
      <c r="B27" s="16" t="s">
        <v>45</v>
      </c>
      <c r="C27" s="28">
        <v>20</v>
      </c>
      <c r="D27" s="28">
        <v>20</v>
      </c>
      <c r="E27" s="28">
        <v>20</v>
      </c>
      <c r="F27" s="28">
        <v>20</v>
      </c>
      <c r="G27" s="28">
        <v>19.999999999999993</v>
      </c>
      <c r="H27" s="28">
        <v>20</v>
      </c>
      <c r="I27" s="28">
        <v>20</v>
      </c>
      <c r="J27" s="28">
        <v>20</v>
      </c>
      <c r="K27" s="28">
        <v>19.999999999999993</v>
      </c>
      <c r="L27" s="28">
        <v>20</v>
      </c>
      <c r="M27" s="28">
        <v>20</v>
      </c>
      <c r="N27" s="28">
        <v>20</v>
      </c>
    </row>
    <row r="28" spans="2:14" ht="29" x14ac:dyDescent="0.35">
      <c r="B28" s="16" t="s">
        <v>28</v>
      </c>
      <c r="C28" s="28">
        <v>20</v>
      </c>
      <c r="D28" s="28">
        <v>20</v>
      </c>
      <c r="E28" s="28">
        <v>20</v>
      </c>
      <c r="F28" s="28">
        <v>20</v>
      </c>
      <c r="G28" s="28">
        <v>20</v>
      </c>
      <c r="H28" s="28">
        <v>20</v>
      </c>
      <c r="I28" s="28">
        <v>20</v>
      </c>
      <c r="J28" s="28">
        <v>20</v>
      </c>
      <c r="K28" s="28">
        <v>20</v>
      </c>
      <c r="L28" s="28">
        <v>20</v>
      </c>
      <c r="M28" s="28">
        <v>20</v>
      </c>
      <c r="N28" s="28">
        <v>20</v>
      </c>
    </row>
    <row r="46" spans="2:14" x14ac:dyDescent="0.35">
      <c r="B46" s="23" t="s">
        <v>27</v>
      </c>
      <c r="C46" s="23"/>
      <c r="D46" s="23"/>
      <c r="E46" s="23"/>
    </row>
    <row r="48" spans="2:14" ht="29" x14ac:dyDescent="0.35">
      <c r="B48" s="16" t="s">
        <v>19</v>
      </c>
      <c r="C48" s="15" t="s">
        <v>5</v>
      </c>
      <c r="D48" s="15" t="s">
        <v>6</v>
      </c>
      <c r="E48" s="15" t="s">
        <v>7</v>
      </c>
      <c r="F48" s="15" t="s">
        <v>8</v>
      </c>
      <c r="G48" s="15" t="s">
        <v>9</v>
      </c>
      <c r="H48" s="15" t="s">
        <v>10</v>
      </c>
      <c r="I48" s="15" t="s">
        <v>11</v>
      </c>
      <c r="J48" s="15" t="s">
        <v>12</v>
      </c>
      <c r="K48" s="15" t="s">
        <v>13</v>
      </c>
      <c r="L48" s="15" t="s">
        <v>14</v>
      </c>
      <c r="M48" s="15" t="s">
        <v>15</v>
      </c>
      <c r="N48" s="15" t="s">
        <v>16</v>
      </c>
    </row>
    <row r="49" spans="2:14" ht="43.5" x14ac:dyDescent="0.35">
      <c r="B49" s="16" t="s">
        <v>46</v>
      </c>
      <c r="C49" s="28">
        <v>7.55</v>
      </c>
      <c r="D49" s="28">
        <v>7.5</v>
      </c>
      <c r="E49" s="28">
        <v>8</v>
      </c>
      <c r="F49" s="28">
        <v>7.5</v>
      </c>
      <c r="G49" s="28">
        <v>9.4999999999999964</v>
      </c>
      <c r="H49" s="28">
        <v>9.3000000000000007</v>
      </c>
      <c r="I49" s="28">
        <v>7.5</v>
      </c>
      <c r="J49" s="28">
        <v>7.6000000000000005</v>
      </c>
      <c r="K49" s="28">
        <v>9.1999999999999975</v>
      </c>
      <c r="L49" s="28">
        <v>7.5</v>
      </c>
      <c r="M49" s="28">
        <v>7.5</v>
      </c>
      <c r="N49" s="28">
        <v>7.5</v>
      </c>
    </row>
    <row r="50" spans="2:14" ht="29" x14ac:dyDescent="0.35">
      <c r="B50" s="16" t="s">
        <v>28</v>
      </c>
      <c r="C50" s="28">
        <v>10</v>
      </c>
      <c r="D50" s="28">
        <v>15</v>
      </c>
      <c r="E50" s="28">
        <v>15</v>
      </c>
      <c r="F50" s="28">
        <v>10</v>
      </c>
      <c r="G50" s="28">
        <v>10</v>
      </c>
      <c r="H50" s="28">
        <v>12</v>
      </c>
      <c r="I50" s="28">
        <v>10</v>
      </c>
      <c r="J50" s="28">
        <v>10</v>
      </c>
      <c r="K50" s="28">
        <v>10</v>
      </c>
      <c r="L50" s="28">
        <v>14</v>
      </c>
      <c r="M50" s="28">
        <v>10</v>
      </c>
      <c r="N50" s="28">
        <v>10</v>
      </c>
    </row>
    <row r="72" spans="4:9" x14ac:dyDescent="0.35">
      <c r="D72" s="7"/>
      <c r="E72" s="7"/>
    </row>
    <row r="73" spans="4:9" x14ac:dyDescent="0.35">
      <c r="H73" s="12"/>
    </row>
    <row r="74" spans="4:9" x14ac:dyDescent="0.35">
      <c r="D74" s="6"/>
      <c r="H74" s="12"/>
    </row>
    <row r="75" spans="4:9" x14ac:dyDescent="0.35">
      <c r="F75" s="7"/>
      <c r="G75" s="7"/>
      <c r="H75" s="13"/>
      <c r="I75" s="7"/>
    </row>
    <row r="76" spans="4:9" x14ac:dyDescent="0.35">
      <c r="F76" s="7"/>
      <c r="G76" s="7"/>
      <c r="H76" s="13"/>
      <c r="I76" s="7"/>
    </row>
    <row r="77" spans="4:9" x14ac:dyDescent="0.35">
      <c r="F77" s="7"/>
      <c r="G77" s="7"/>
      <c r="H77" s="13"/>
      <c r="I77" s="7"/>
    </row>
    <row r="78" spans="4:9" x14ac:dyDescent="0.35">
      <c r="F78" s="7"/>
      <c r="G78" s="7"/>
      <c r="H78" s="13"/>
      <c r="I78" s="7"/>
    </row>
    <row r="79" spans="4:9" x14ac:dyDescent="0.35">
      <c r="H79" s="12"/>
    </row>
    <row r="80" spans="4:9" x14ac:dyDescent="0.35">
      <c r="H80" s="12"/>
    </row>
    <row r="81" spans="8:8" x14ac:dyDescent="0.35">
      <c r="H81" s="12"/>
    </row>
    <row r="82" spans="8:8" x14ac:dyDescent="0.35">
      <c r="H82" s="1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Input</vt:lpstr>
      <vt:lpstr>Calculation</vt:lpstr>
      <vt:lpstr>Output - Profitability Analysis</vt:lpstr>
      <vt:lpstr>Output - Operation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 Abeyweera</dc:creator>
  <cp:lastModifiedBy>Suresh Abeyweera</cp:lastModifiedBy>
  <cp:lastPrinted>2024-01-01T06:18:22Z</cp:lastPrinted>
  <dcterms:created xsi:type="dcterms:W3CDTF">2023-12-24T10:25:16Z</dcterms:created>
  <dcterms:modified xsi:type="dcterms:W3CDTF">2024-01-07T12:57:59Z</dcterms:modified>
</cp:coreProperties>
</file>